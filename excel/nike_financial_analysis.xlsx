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Income statement" sheetId="2" r:id="rId2"/>
    <sheet name="Balance sheet" sheetId="3" r:id="rId3"/>
    <sheet name="Ratios" sheetId="4" r:id="rId4"/>
    <sheet name="Margin bridge" sheetId="5" r:id="rId5"/>
    <sheet name="Forecast" sheetId="6" r:id="rId6"/>
    <sheet name="Read me" sheetId="7" r:id="rId7"/>
  </sheets>
  <calcPr calcId="124519" fullCalcOnLoad="1"/>
</workbook>
</file>

<file path=xl/sharedStrings.xml><?xml version="1.0" encoding="utf-8"?>
<sst xmlns="http://schemas.openxmlformats.org/spreadsheetml/2006/main" count="259" uniqueCount="135">
  <si>
    <t>NIKE, Inc. - income statement as reported</t>
  </si>
  <si>
    <t>USD millions, except per-share amounts. Financial year ends 31 May. Source: NIKE 10-K filings via the SEC XBRL company facts API. Only the reported lines are typed in; operating income, pre-tax income, net income, the common-size block and the growth block are formulas.</t>
  </si>
  <si>
    <t>USD millions</t>
  </si>
  <si>
    <t>FY2020</t>
  </si>
  <si>
    <t>FY2021</t>
  </si>
  <si>
    <t>FY2022</t>
  </si>
  <si>
    <t>FY2023</t>
  </si>
  <si>
    <t>FY2024</t>
  </si>
  <si>
    <t>FY2025</t>
  </si>
  <si>
    <t>FY2026</t>
  </si>
  <si>
    <t>Revenue</t>
  </si>
  <si>
    <t>Cost of sales</t>
  </si>
  <si>
    <t>Gross profit</t>
  </si>
  <si>
    <t>Demand creation expense</t>
  </si>
  <si>
    <t>Operating overhead expense</t>
  </si>
  <si>
    <t>Total selling and administrative expense</t>
  </si>
  <si>
    <t>Operating income (gross profit less SG&amp;A)</t>
  </si>
  <si>
    <t>Interest income (expense), net</t>
  </si>
  <si>
    <t>Other income (expense), net</t>
  </si>
  <si>
    <t>Income before income taxes</t>
  </si>
  <si>
    <t>Income tax expense</t>
  </si>
  <si>
    <t>Net income</t>
  </si>
  <si>
    <t>Diluted earnings per share</t>
  </si>
  <si>
    <t>Diluted shares (millions)</t>
  </si>
  <si>
    <t>As a percentage of revenue</t>
  </si>
  <si>
    <t>Gross margin</t>
  </si>
  <si>
    <t>Total SG&amp;A</t>
  </si>
  <si>
    <t>Operating margin</t>
  </si>
  <si>
    <t>Net margin</t>
  </si>
  <si>
    <t>Year-on-year growth</t>
  </si>
  <si>
    <t>n/a</t>
  </si>
  <si>
    <t>Operating income</t>
  </si>
  <si>
    <t>NIKE does not report an operating income line. Its income statement goes straight from gross profit to SG&amp;A to pre-tax income, so operating income here is gross profit less SG&amp;A - what is usually called EBIT for this company. The formula is visible in row 11.</t>
  </si>
  <si>
    <t>NIKE, Inc. - balance sheet and cash flow items</t>
  </si>
  <si>
    <t>USD millions at 31 May of each year. Free cash flow and total cash returned to shareholders are formulas.</t>
  </si>
  <si>
    <t>Cash and cash equivalents</t>
  </si>
  <si>
    <t>Accounts receivable, net</t>
  </si>
  <si>
    <t>Inventories</t>
  </si>
  <si>
    <t>Total current assets</t>
  </si>
  <si>
    <t>Total assets</t>
  </si>
  <si>
    <t>Total current liabilities</t>
  </si>
  <si>
    <t>Long-term debt</t>
  </si>
  <si>
    <t>Shareholders' equity</t>
  </si>
  <si>
    <t>Cash from operating activities</t>
  </si>
  <si>
    <t>Capital expenditure</t>
  </si>
  <si>
    <t>Free cash flow</t>
  </si>
  <si>
    <t>Dividends paid</t>
  </si>
  <si>
    <t>Share buybacks</t>
  </si>
  <si>
    <t>Total returned to shareholders</t>
  </si>
  <si>
    <t>Capital expenditure and the shareholder return lines are reported as cash outflows but tagged as positive amounts, so free cash flow is operating cash flow minus capital expenditure.</t>
  </si>
  <si>
    <t>NIKE, Inc. - ratio analysis</t>
  </si>
  <si>
    <t>Every cell on this sheet is a formula pointing at the Income statement or Balance sheet tab. Nothing is typed in.</t>
  </si>
  <si>
    <t>Profitability</t>
  </si>
  <si>
    <t>SG&amp;A as % of revenue</t>
  </si>
  <si>
    <t>Effective tax rate</t>
  </si>
  <si>
    <t>Liquidity and working capital</t>
  </si>
  <si>
    <t>Current ratio</t>
  </si>
  <si>
    <t>Inventory days</t>
  </si>
  <si>
    <t>Receivable days</t>
  </si>
  <si>
    <t>Long-term debt to equity</t>
  </si>
  <si>
    <t>Returns and cash</t>
  </si>
  <si>
    <t>Return on equity (average equity)</t>
  </si>
  <si>
    <t>Return on assets (average assets)</t>
  </si>
  <si>
    <t>Free cash flow as % of revenue</t>
  </si>
  <si>
    <t>Cash returned as % of free cash flow</t>
  </si>
  <si>
    <t>Return on equity and return on assets use the average of the opening and closing balance, because profit is earned across the year while the balance sheet is a single-day snapshot. FY2020 has no opening balance in this dataset, so it shows n/a.</t>
  </si>
  <si>
    <t>Why operating income fell $2,514m between FY2024 and FY2026</t>
  </si>
  <si>
    <t>The three effects are formulas pointing at the Income statement tab, so they stay correct if the figures change. They add back to the actual change, which row 12 checks.</t>
  </si>
  <si>
    <t>Item</t>
  </si>
  <si>
    <t>USD m</t>
  </si>
  <si>
    <t>How it is calculated</t>
  </si>
  <si>
    <t>FY2024 operating income</t>
  </si>
  <si>
    <t>as reported</t>
  </si>
  <si>
    <t>Effect of lower revenue</t>
  </si>
  <si>
    <t>change in revenue x the FY2024 gross margin</t>
  </si>
  <si>
    <t>Effect of lower gross margin</t>
  </si>
  <si>
    <t>FY2026 revenue x the change in gross margin</t>
  </si>
  <si>
    <t>Effect of change in SG&amp;A</t>
  </si>
  <si>
    <t>minus the change in SG&amp;A (a fall in SG&amp;A helps profit)</t>
  </si>
  <si>
    <t>FY2026 operating income</t>
  </si>
  <si>
    <t>Check: FY2024 + the three effects</t>
  </si>
  <si>
    <t>Difference from reported FY2026</t>
  </si>
  <si>
    <t>should be zero</t>
  </si>
  <si>
    <t>Simple three-scenario forecast, FY2027 and FY2028</t>
  </si>
  <si>
    <t>This is not a valuation. It answers one question: if revenue and margins behave in a stated way, what happens to profit? Every shaded cell is an assumption you can change - the three scenario blocks below recalculate automatically. The last column of the 'What the last seven years did' table is there so each assumption can be compared with history.</t>
  </si>
  <si>
    <t>Assumptions (change the shaded cells)</t>
  </si>
  <si>
    <t>Low</t>
  </si>
  <si>
    <t>Base</t>
  </si>
  <si>
    <t>High</t>
  </si>
  <si>
    <t>Revenue growth per year</t>
  </si>
  <si>
    <t>SG&amp;A growth per year</t>
  </si>
  <si>
    <t>Diluted share count change per year</t>
  </si>
  <si>
    <t>Non-operating income, held flat ($m)</t>
  </si>
  <si>
    <t>interest plus other income as reported in FY2026</t>
  </si>
  <si>
    <t>What the last seven years did (FY2020-FY2026)</t>
  </si>
  <si>
    <t>Average</t>
  </si>
  <si>
    <t>Lowest</t>
  </si>
  <si>
    <t>Highest</t>
  </si>
  <si>
    <t>Revenue growth %</t>
  </si>
  <si>
    <t>Gross margin %</t>
  </si>
  <si>
    <t>SG&amp;A growth %</t>
  </si>
  <si>
    <t>Effective tax rate %</t>
  </si>
  <si>
    <t>Diluted share count change %</t>
  </si>
  <si>
    <t>Low case - revenue falls 2% a year, gross margin 42.0%, SG&amp;A trimmed 1% a year</t>
  </si>
  <si>
    <t>FY2026 actual</t>
  </si>
  <si>
    <t>FY2027</t>
  </si>
  <si>
    <t>FY2028</t>
  </si>
  <si>
    <t>SG&amp;A</t>
  </si>
  <si>
    <t>Non-operating income</t>
  </si>
  <si>
    <t>Diluted EPS</t>
  </si>
  <si>
    <t>Base case - revenue grows 2% a year, gross margin recovers to 43.5%, SG&amp;A grows 2%</t>
  </si>
  <si>
    <t>High case - revenue grows 5% a year, gross margin back to 44.5%, SG&amp;A grows 2%</t>
  </si>
  <si>
    <t>Net income by scenario</t>
  </si>
  <si>
    <t>NIKE, Inc. financial performance analysis</t>
  </si>
  <si>
    <t>What this workbook is</t>
  </si>
  <si>
    <t>Seven financial years of NIKE's reported results (FY2020 to FY2026), the margins and ratios derived from them, an explanation of why operating income fell between FY2024 and FY2026, and a simple three-scenario forecast of FY2027 and FY2028.</t>
  </si>
  <si>
    <t>Where the figures come from</t>
  </si>
  <si>
    <t>NIKE's own 10-K filings, read through the SEC's XBRL company facts API (data.sec.gov). The API is free and needs no key. A Python script downloads the file and writes out the line items; nothing in this workbook is typed in by hand except the forecast assumptions.</t>
  </si>
  <si>
    <t>NIKE's financial year ends on 31 May, so FY2026 covers June 2025 to May 2026.</t>
  </si>
  <si>
    <t>Checks that were run on the extracted data</t>
  </si>
  <si>
    <t>Four reconciliations, all of which come to zero: revenue less cost of sales equals reported gross profit; demand creation plus operating overhead equals reported SG&amp;A; operating income plus interest plus other income equals reported pre-tax income; and pre-tax income less tax equals reported net income.</t>
  </si>
  <si>
    <t>One thing to know about operating income</t>
  </si>
  <si>
    <t>NIKE does not report an operating income line. Its income statement goes from gross profit straight to SG&amp;A and then to pre-tax income. Operating income here is gross profit less SG&amp;A, which is what is normally called EBIT for this company. The formula is visible in the Income statement tab.</t>
  </si>
  <si>
    <t>What this workbook is not</t>
  </si>
  <si>
    <t>It is not a valuation, a DCF or an investment recommendation. The forecast is a sensitivity exercise: it shows what happens to profit under stated assumptions about revenue growth and margins. The assumptions are mine and they are all visible in shaded cells on the Forecast tab, next to what the last seven years actually did.</t>
  </si>
  <si>
    <t>Sheets</t>
  </si>
  <si>
    <t>Dashboard - headline figures and charts
Income statement - as reported, plus common-size and growth blocks
Balance sheet - balance sheet and cash flow items
Ratios - profitability, liquidity, working capital and returns
Margin bridge - the three causes of the fall in operating income
Forecast - three scenarios driven by the assumptions block</t>
  </si>
  <si>
    <t>NIKE, Inc. - financial performance FY2020 to FY2026</t>
  </si>
  <si>
    <t>USD millions unless stated. Source: NIKE 10-K filings via the SEC XBRL API. Financial year ends 31 May.</t>
  </si>
  <si>
    <t>FY2026 revenue</t>
  </si>
  <si>
    <t>FY2026 net income</t>
  </si>
  <si>
    <t>FY2026 gross margin</t>
  </si>
  <si>
    <t>FY2026 operating margin</t>
  </si>
  <si>
    <t>FY2026 diluted EPS</t>
  </si>
  <si>
    <t>Operating income is gross profit less SG&amp;A - NIKE does not report an operating income line. See the Read me tab.</t>
  </si>
</sst>
</file>

<file path=xl/styles.xml><?xml version="1.0" encoding="utf-8"?>
<styleSheet xmlns="http://schemas.openxmlformats.org/spreadsheetml/2006/main">
  <numFmts count="5">
    <numFmt numFmtId="164" formatCode="$#,##0"/>
    <numFmt numFmtId="165" formatCode="0.0%"/>
    <numFmt numFmtId="166" formatCode="$0.00"/>
    <numFmt numFmtId="167" formatCode="#,##0"/>
    <numFmt numFmtId="168" formatCode="0.00"/>
  </numFmts>
  <fonts count="11">
    <font>
      <sz val="11"/>
      <color theme="1"/>
      <name val="Calibri"/>
      <family val="2"/>
      <scheme val="minor"/>
    </font>
    <font>
      <b/>
      <sz val="15"/>
      <color rgb="FF1F3353"/>
      <name val="Calibri"/>
      <family val="2"/>
      <scheme val="minor"/>
    </font>
    <font>
      <sz val="10"/>
      <color rgb="FF5A6B80"/>
      <name val="Calibri"/>
      <family val="2"/>
      <scheme val="minor"/>
    </font>
    <font>
      <b/>
      <sz val="18"/>
      <color rgb="FF1F3353"/>
      <name val="Calibri"/>
      <family val="2"/>
      <scheme val="minor"/>
    </font>
    <font>
      <i/>
      <sz val="9"/>
      <color rgb="FF7A8899"/>
      <name val="Calibri"/>
      <family val="2"/>
      <scheme val="minor"/>
    </font>
    <font>
      <b/>
      <sz val="11"/>
      <color rgb="FFFFFFFF"/>
      <name val="Calibri"/>
      <family val="2"/>
      <scheme val="minor"/>
    </font>
    <font>
      <b/>
      <sz val="10"/>
      <color rgb="FF1F3353"/>
      <name val="Calibri"/>
      <family val="2"/>
      <scheme val="minor"/>
    </font>
    <font>
      <sz val="10"/>
      <color theme="1"/>
      <name val="Calibri"/>
      <family val="2"/>
      <scheme val="minor"/>
    </font>
    <font>
      <b/>
      <sz val="11"/>
      <color rgb="FF1F3353"/>
      <name val="Calibri"/>
      <family val="2"/>
      <scheme val="minor"/>
    </font>
    <font>
      <b/>
      <sz val="10"/>
      <color theme="1"/>
      <name val="Calibri"/>
      <family val="2"/>
      <scheme val="minor"/>
    </font>
    <font>
      <sz val="10"/>
      <color rgb="FF3C4B5C"/>
      <name val="Calibri"/>
      <family val="2"/>
      <scheme val="minor"/>
    </font>
  </fonts>
  <fills count="4">
    <fill>
      <patternFill patternType="none"/>
    </fill>
    <fill>
      <patternFill patternType="gray125"/>
    </fill>
    <fill>
      <patternFill patternType="solid">
        <fgColor rgb="FF1F3353"/>
        <bgColor indexed="64"/>
      </patternFill>
    </fill>
    <fill>
      <patternFill patternType="solid">
        <fgColor rgb="FFFFF4E0"/>
        <bgColor indexed="64"/>
      </patternFill>
    </fill>
  </fills>
  <borders count="4">
    <border>
      <left/>
      <right/>
      <top/>
      <bottom/>
      <diagonal/>
    </border>
    <border>
      <left style="thin">
        <color rgb="FF1F3353"/>
      </left>
      <right style="thin">
        <color rgb="FF1F3353"/>
      </right>
      <top style="thin">
        <color rgb="FF1F3353"/>
      </top>
      <bottom style="thin">
        <color rgb="FF1F3353"/>
      </bottom>
      <diagonal/>
    </border>
    <border>
      <left/>
      <right/>
      <top style="thin">
        <color rgb="FF8FA6C4"/>
      </top>
      <bottom/>
      <diagonal/>
    </border>
    <border>
      <left style="thin">
        <color rgb="FFC2703D"/>
      </left>
      <right style="thin">
        <color rgb="FFC2703D"/>
      </right>
      <top style="thin">
        <color rgb="FFC2703D"/>
      </top>
      <bottom style="thin">
        <color rgb="FFC2703D"/>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164" fontId="3" fillId="0" borderId="0" xfId="0" applyNumberFormat="1" applyFont="1"/>
    <xf numFmtId="165" fontId="3" fillId="0" borderId="0" xfId="0" applyNumberFormat="1" applyFont="1"/>
    <xf numFmtId="166" fontId="3" fillId="0" borderId="0" xfId="0" applyNumberFormat="1" applyFont="1"/>
    <xf numFmtId="0" fontId="4" fillId="0" borderId="0" xfId="0" applyFont="1" applyAlignment="1">
      <alignment vertical="top" wrapText="1"/>
    </xf>
    <xf numFmtId="0" fontId="5" fillId="2" borderId="1" xfId="0" applyFont="1" applyFill="1" applyBorder="1" applyAlignment="1">
      <alignment horizontal="center"/>
    </xf>
    <xf numFmtId="0" fontId="6" fillId="0" borderId="0" xfId="0" applyFont="1"/>
    <xf numFmtId="167" fontId="7" fillId="0" borderId="0" xfId="0" applyNumberFormat="1" applyFont="1"/>
    <xf numFmtId="0" fontId="7" fillId="0" borderId="0" xfId="0" applyFont="1" applyAlignment="1">
      <alignment horizontal="left" indent="1"/>
    </xf>
    <xf numFmtId="167" fontId="6" fillId="0" borderId="2" xfId="0" applyNumberFormat="1" applyFont="1" applyBorder="1"/>
    <xf numFmtId="166" fontId="7" fillId="0" borderId="0" xfId="0" applyNumberFormat="1" applyFont="1"/>
    <xf numFmtId="0" fontId="8" fillId="0" borderId="2" xfId="0" applyFont="1" applyBorder="1"/>
    <xf numFmtId="165" fontId="6" fillId="0" borderId="0" xfId="0" applyNumberFormat="1" applyFont="1"/>
    <xf numFmtId="165" fontId="7" fillId="0" borderId="0" xfId="0" applyNumberFormat="1" applyFont="1"/>
    <xf numFmtId="168" fontId="7" fillId="0" borderId="0" xfId="0" applyNumberFormat="1" applyFont="1"/>
    <xf numFmtId="1" fontId="7" fillId="0" borderId="0" xfId="0" applyNumberFormat="1" applyFont="1"/>
    <xf numFmtId="165" fontId="9" fillId="3" borderId="3" xfId="0" applyNumberFormat="1" applyFont="1" applyFill="1" applyBorder="1"/>
    <xf numFmtId="167" fontId="9" fillId="3" borderId="3" xfId="0" applyNumberFormat="1" applyFont="1" applyFill="1" applyBorder="1"/>
    <xf numFmtId="0" fontId="10"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Revenue and operating margin</a:t>
            </a:r>
          </a:p>
        </c:rich>
      </c:tx>
      <c:layout/>
    </c:title>
    <c:plotArea>
      <c:layout/>
      <c:barChart>
        <c:barDir val="col"/>
        <c:grouping val="clustered"/>
        <c:ser>
          <c:idx val="0"/>
          <c:order val="0"/>
          <c:tx>
            <c:v>Revenue</c:v>
          </c:tx>
          <c:spPr>
            <a:solidFill>
              <a:srgbClr val="2E4A72"/>
            </a:solidFill>
          </c:spPr>
          <c:cat>
            <c:strRef>
              <c:f>'Income statement'!$B$4:$H$4</c:f>
              <c:strCache>
                <c:ptCount val="7"/>
                <c:pt idx="0">
                  <c:v>FY2020</c:v>
                </c:pt>
                <c:pt idx="1">
                  <c:v>FY2021</c:v>
                </c:pt>
                <c:pt idx="2">
                  <c:v>FY2022</c:v>
                </c:pt>
                <c:pt idx="3">
                  <c:v>FY2023</c:v>
                </c:pt>
                <c:pt idx="4">
                  <c:v>FY2024</c:v>
                </c:pt>
                <c:pt idx="5">
                  <c:v>FY2025</c:v>
                </c:pt>
                <c:pt idx="6">
                  <c:v>FY2026</c:v>
                </c:pt>
              </c:strCache>
            </c:strRef>
          </c:cat>
          <c:val>
            <c:numRef>
              <c:f>'Income statement'!$B$5:$H$5</c:f>
              <c:numCache>
                <c:formatCode>General</c:formatCode>
                <c:ptCount val="7"/>
                <c:pt idx="0">
                  <c:v>37403</c:v>
                </c:pt>
                <c:pt idx="1">
                  <c:v>44538</c:v>
                </c:pt>
                <c:pt idx="2">
                  <c:v>46710</c:v>
                </c:pt>
                <c:pt idx="3">
                  <c:v>51217</c:v>
                </c:pt>
                <c:pt idx="4">
                  <c:v>51362</c:v>
                </c:pt>
                <c:pt idx="5">
                  <c:v>46309</c:v>
                </c:pt>
                <c:pt idx="6">
                  <c:v>46398</c:v>
                </c:pt>
              </c:numCache>
            </c:numRef>
          </c:val>
        </c:ser>
        <c:gapWidth val="45"/>
        <c:axId val="50010001"/>
        <c:axId val="50010002"/>
      </c:barChart>
      <c:lineChart>
        <c:grouping val="standard"/>
        <c:ser>
          <c:idx val="1"/>
          <c:order val="1"/>
          <c:tx>
            <c:v>Operating margin (right axis)</c:v>
          </c:tx>
          <c:spPr>
            <a:ln w="28575">
              <a:solidFill>
                <a:srgbClr val="C2703D"/>
              </a:solidFill>
            </a:ln>
          </c:spPr>
          <c:marker>
            <c:symbol val="none"/>
          </c:marker>
          <c:cat>
            <c:strRef>
              <c:f>'Income statement'!$B$4:$H$4</c:f>
              <c:strCache>
                <c:ptCount val="7"/>
                <c:pt idx="0">
                  <c:v>FY2020</c:v>
                </c:pt>
                <c:pt idx="1">
                  <c:v>FY2021</c:v>
                </c:pt>
                <c:pt idx="2">
                  <c:v>FY2022</c:v>
                </c:pt>
                <c:pt idx="3">
                  <c:v>FY2023</c:v>
                </c:pt>
                <c:pt idx="4">
                  <c:v>FY2024</c:v>
                </c:pt>
                <c:pt idx="5">
                  <c:v>FY2025</c:v>
                </c:pt>
                <c:pt idx="6">
                  <c:v>FY2026</c:v>
                </c:pt>
              </c:strCache>
            </c:strRef>
          </c:cat>
          <c:val>
            <c:numRef>
              <c:f>Ratios!$B$6:$H$6</c:f>
              <c:numCache>
                <c:formatCode>General</c:formatCode>
                <c:ptCount val="7"/>
                <c:pt idx="0">
                  <c:v>0</c:v>
                </c:pt>
                <c:pt idx="1">
                  <c:v>0</c:v>
                </c:pt>
                <c:pt idx="2">
                  <c:v>0</c:v>
                </c:pt>
                <c:pt idx="3">
                  <c:v>0</c:v>
                </c:pt>
                <c:pt idx="4">
                  <c:v>0</c:v>
                </c:pt>
                <c:pt idx="5">
                  <c:v>0</c:v>
                </c:pt>
                <c:pt idx="6">
                  <c:v>0</c:v>
                </c:pt>
              </c:numCache>
            </c:numRef>
          </c:val>
        </c:ser>
        <c:marker val="1"/>
        <c:axId val="60010001"/>
        <c:axId val="60010002"/>
      </c:line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Revenue ($m)</a:t>
                </a:r>
              </a:p>
            </c:rich>
          </c:tx>
          <c:layout/>
        </c:title>
        <c:numFmt formatCode="#,##0" sourceLinked="0"/>
        <c:tickLblPos val="nextTo"/>
        <c:crossAx val="50010001"/>
        <c:crosses val="autoZero"/>
        <c:crossBetween val="between"/>
      </c:valAx>
      <c:valAx>
        <c:axId val="60010002"/>
        <c:scaling>
          <c:orientation val="minMax"/>
        </c:scaling>
        <c:axPos val="r"/>
        <c:numFmt formatCode="General" sourceLinked="1"/>
        <c:tickLblPos val="nextTo"/>
        <c:crossAx val="60010001"/>
        <c:crosses val="max"/>
        <c:crossBetween val="between"/>
      </c:valAx>
      <c:catAx>
        <c:axId val="60010001"/>
        <c:scaling>
          <c:orientation val="minMax"/>
        </c:scaling>
        <c:delete val="1"/>
        <c:axPos val="b"/>
        <c:tickLblPos val="none"/>
        <c:crossAx val="60010002"/>
        <c:crosses val="autoZero"/>
        <c:auto val="1"/>
        <c:lblAlgn val="ctr"/>
        <c:lblOffset val="100"/>
      </c:cat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Margins</a:t>
            </a:r>
          </a:p>
        </c:rich>
      </c:tx>
      <c:layout/>
    </c:title>
    <c:plotArea>
      <c:layout/>
      <c:lineChart>
        <c:grouping val="standard"/>
        <c:ser>
          <c:idx val="0"/>
          <c:order val="0"/>
          <c:tx>
            <c:v>Gross margin</c:v>
          </c:tx>
          <c:spPr>
            <a:ln w="25400">
              <a:solidFill>
                <a:srgbClr val="2E4A72"/>
              </a:solidFill>
            </a:ln>
          </c:spPr>
          <c:marker>
            <c:symbol val="none"/>
          </c:marker>
          <c:cat>
            <c:strRef>
              <c:f>'Income statement'!$B$4:$H$4</c:f>
              <c:strCache>
                <c:ptCount val="7"/>
                <c:pt idx="0">
                  <c:v>FY2020</c:v>
                </c:pt>
                <c:pt idx="1">
                  <c:v>FY2021</c:v>
                </c:pt>
                <c:pt idx="2">
                  <c:v>FY2022</c:v>
                </c:pt>
                <c:pt idx="3">
                  <c:v>FY2023</c:v>
                </c:pt>
                <c:pt idx="4">
                  <c:v>FY2024</c:v>
                </c:pt>
                <c:pt idx="5">
                  <c:v>FY2025</c:v>
                </c:pt>
                <c:pt idx="6">
                  <c:v>FY2026</c:v>
                </c:pt>
              </c:strCache>
            </c:strRef>
          </c:cat>
          <c:val>
            <c:numRef>
              <c:f>Ratios!$B$5:$H$5</c:f>
              <c:numCache>
                <c:formatCode>General</c:formatCode>
                <c:ptCount val="7"/>
                <c:pt idx="0">
                  <c:v>0</c:v>
                </c:pt>
                <c:pt idx="1">
                  <c:v>0</c:v>
                </c:pt>
                <c:pt idx="2">
                  <c:v>0</c:v>
                </c:pt>
                <c:pt idx="3">
                  <c:v>0</c:v>
                </c:pt>
                <c:pt idx="4">
                  <c:v>0</c:v>
                </c:pt>
                <c:pt idx="5">
                  <c:v>0</c:v>
                </c:pt>
                <c:pt idx="6">
                  <c:v>0</c:v>
                </c:pt>
              </c:numCache>
            </c:numRef>
          </c:val>
        </c:ser>
        <c:ser>
          <c:idx val="1"/>
          <c:order val="1"/>
          <c:tx>
            <c:v>Operating margin</c:v>
          </c:tx>
          <c:spPr>
            <a:ln w="25400">
              <a:solidFill>
                <a:srgbClr val="C2703D"/>
              </a:solidFill>
            </a:ln>
          </c:spPr>
          <c:marker>
            <c:symbol val="none"/>
          </c:marker>
          <c:cat>
            <c:strRef>
              <c:f>'Income statement'!$B$4:$H$4</c:f>
              <c:strCache>
                <c:ptCount val="7"/>
                <c:pt idx="0">
                  <c:v>FY2020</c:v>
                </c:pt>
                <c:pt idx="1">
                  <c:v>FY2021</c:v>
                </c:pt>
                <c:pt idx="2">
                  <c:v>FY2022</c:v>
                </c:pt>
                <c:pt idx="3">
                  <c:v>FY2023</c:v>
                </c:pt>
                <c:pt idx="4">
                  <c:v>FY2024</c:v>
                </c:pt>
                <c:pt idx="5">
                  <c:v>FY2025</c:v>
                </c:pt>
                <c:pt idx="6">
                  <c:v>FY2026</c:v>
                </c:pt>
              </c:strCache>
            </c:strRef>
          </c:cat>
          <c:val>
            <c:numRef>
              <c:f>Ratios!$B$6:$H$6</c:f>
              <c:numCache>
                <c:formatCode>General</c:formatCode>
                <c:ptCount val="7"/>
                <c:pt idx="0">
                  <c:v>0</c:v>
                </c:pt>
                <c:pt idx="1">
                  <c:v>0</c:v>
                </c:pt>
                <c:pt idx="2">
                  <c:v>0</c:v>
                </c:pt>
                <c:pt idx="3">
                  <c:v>0</c:v>
                </c:pt>
                <c:pt idx="4">
                  <c:v>0</c:v>
                </c:pt>
                <c:pt idx="5">
                  <c:v>0</c:v>
                </c:pt>
                <c:pt idx="6">
                  <c:v>0</c:v>
                </c:pt>
              </c:numCache>
            </c:numRef>
          </c:val>
        </c:ser>
        <c:ser>
          <c:idx val="2"/>
          <c:order val="2"/>
          <c:tx>
            <c:v>Net margin</c:v>
          </c:tx>
          <c:spPr>
            <a:ln w="25400">
              <a:solidFill>
                <a:srgbClr val="8FA6C4"/>
              </a:solidFill>
            </a:ln>
          </c:spPr>
          <c:marker>
            <c:symbol val="none"/>
          </c:marker>
          <c:cat>
            <c:strRef>
              <c:f>'Income statement'!$B$4:$H$4</c:f>
              <c:strCache>
                <c:ptCount val="7"/>
                <c:pt idx="0">
                  <c:v>FY2020</c:v>
                </c:pt>
                <c:pt idx="1">
                  <c:v>FY2021</c:v>
                </c:pt>
                <c:pt idx="2">
                  <c:v>FY2022</c:v>
                </c:pt>
                <c:pt idx="3">
                  <c:v>FY2023</c:v>
                </c:pt>
                <c:pt idx="4">
                  <c:v>FY2024</c:v>
                </c:pt>
                <c:pt idx="5">
                  <c:v>FY2025</c:v>
                </c:pt>
                <c:pt idx="6">
                  <c:v>FY2026</c:v>
                </c:pt>
              </c:strCache>
            </c:strRef>
          </c:cat>
          <c:val>
            <c:numRef>
              <c:f>Ratios!$B$7:$H$7</c:f>
              <c:numCache>
                <c:formatCode>General</c:formatCode>
                <c:ptCount val="7"/>
                <c:pt idx="0">
                  <c:v>0</c:v>
                </c:pt>
                <c:pt idx="1">
                  <c:v>0</c:v>
                </c:pt>
                <c:pt idx="2">
                  <c:v>0</c:v>
                </c:pt>
                <c:pt idx="3">
                  <c:v>0</c:v>
                </c:pt>
                <c:pt idx="4">
                  <c:v>0</c:v>
                </c:pt>
                <c:pt idx="5">
                  <c:v>0</c:v>
                </c:pt>
                <c:pt idx="6">
                  <c:v>0</c:v>
                </c:pt>
              </c:numCache>
            </c:numRef>
          </c:val>
        </c:ser>
        <c:marker val="1"/>
        <c:axId val="50020001"/>
        <c:axId val="50020002"/>
      </c:line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0%" sourceLinked="0"/>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SG&amp;A as % of revenue</a:t>
            </a:r>
          </a:p>
        </c:rich>
      </c:tx>
      <c:layout/>
    </c:title>
    <c:plotArea>
      <c:layout/>
      <c:barChart>
        <c:barDir val="col"/>
        <c:grouping val="stacked"/>
        <c:ser>
          <c:idx val="0"/>
          <c:order val="0"/>
          <c:tx>
            <c:v>Demand creation</c:v>
          </c:tx>
          <c:spPr>
            <a:solidFill>
              <a:srgbClr val="C2703D"/>
            </a:solidFill>
          </c:spPr>
          <c:cat>
            <c:strRef>
              <c:f>'Income statement'!$B$4:$H$4</c:f>
              <c:strCache>
                <c:ptCount val="7"/>
                <c:pt idx="0">
                  <c:v>FY2020</c:v>
                </c:pt>
                <c:pt idx="1">
                  <c:v>FY2021</c:v>
                </c:pt>
                <c:pt idx="2">
                  <c:v>FY2022</c:v>
                </c:pt>
                <c:pt idx="3">
                  <c:v>FY2023</c:v>
                </c:pt>
                <c:pt idx="4">
                  <c:v>FY2024</c:v>
                </c:pt>
                <c:pt idx="5">
                  <c:v>FY2025</c:v>
                </c:pt>
                <c:pt idx="6">
                  <c:v>FY2026</c:v>
                </c:pt>
              </c:strCache>
            </c:strRef>
          </c:cat>
          <c:val>
            <c:numRef>
              <c:f>'Income statement'!$B$22:$H$22</c:f>
              <c:numCache>
                <c:formatCode>General</c:formatCode>
                <c:ptCount val="7"/>
                <c:pt idx="0">
                  <c:v>0</c:v>
                </c:pt>
                <c:pt idx="1">
                  <c:v>0</c:v>
                </c:pt>
                <c:pt idx="2">
                  <c:v>0</c:v>
                </c:pt>
                <c:pt idx="3">
                  <c:v>0</c:v>
                </c:pt>
                <c:pt idx="4">
                  <c:v>0</c:v>
                </c:pt>
                <c:pt idx="5">
                  <c:v>0</c:v>
                </c:pt>
                <c:pt idx="6">
                  <c:v>0</c:v>
                </c:pt>
              </c:numCache>
            </c:numRef>
          </c:val>
        </c:ser>
        <c:ser>
          <c:idx val="1"/>
          <c:order val="1"/>
          <c:tx>
            <c:v>Operating overhead</c:v>
          </c:tx>
          <c:spPr>
            <a:solidFill>
              <a:srgbClr val="2E4A72"/>
            </a:solidFill>
          </c:spPr>
          <c:cat>
            <c:strRef>
              <c:f>'Income statement'!$B$4:$H$4</c:f>
              <c:strCache>
                <c:ptCount val="7"/>
                <c:pt idx="0">
                  <c:v>FY2020</c:v>
                </c:pt>
                <c:pt idx="1">
                  <c:v>FY2021</c:v>
                </c:pt>
                <c:pt idx="2">
                  <c:v>FY2022</c:v>
                </c:pt>
                <c:pt idx="3">
                  <c:v>FY2023</c:v>
                </c:pt>
                <c:pt idx="4">
                  <c:v>FY2024</c:v>
                </c:pt>
                <c:pt idx="5">
                  <c:v>FY2025</c:v>
                </c:pt>
                <c:pt idx="6">
                  <c:v>FY2026</c:v>
                </c:pt>
              </c:strCache>
            </c:strRef>
          </c:cat>
          <c:val>
            <c:numRef>
              <c:f>'Income statement'!$B$23:$H$23</c:f>
              <c:numCache>
                <c:formatCode>General</c:formatCode>
                <c:ptCount val="7"/>
                <c:pt idx="0">
                  <c:v>0</c:v>
                </c:pt>
                <c:pt idx="1">
                  <c:v>0</c:v>
                </c:pt>
                <c:pt idx="2">
                  <c:v>0</c:v>
                </c:pt>
                <c:pt idx="3">
                  <c:v>0</c:v>
                </c:pt>
                <c:pt idx="4">
                  <c:v>0</c:v>
                </c:pt>
                <c:pt idx="5">
                  <c:v>0</c:v>
                </c:pt>
                <c:pt idx="6">
                  <c:v>0</c:v>
                </c:pt>
              </c:numCache>
            </c:numRef>
          </c:val>
        </c:ser>
        <c:overlap val="100"/>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0%" sourceLinked="0"/>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Free cash flow vs cash returned to shareholders ($m)</a:t>
            </a:r>
          </a:p>
        </c:rich>
      </c:tx>
      <c:layout/>
    </c:title>
    <c:plotArea>
      <c:layout/>
      <c:barChart>
        <c:barDir val="col"/>
        <c:grouping val="clustered"/>
        <c:ser>
          <c:idx val="0"/>
          <c:order val="0"/>
          <c:tx>
            <c:v>Free cash flow</c:v>
          </c:tx>
          <c:spPr>
            <a:solidFill>
              <a:srgbClr val="2E4A72"/>
            </a:solidFill>
          </c:spPr>
          <c:cat>
            <c:strRef>
              <c:f>'Income statement'!$B$4:$H$4</c:f>
              <c:strCache>
                <c:ptCount val="7"/>
                <c:pt idx="0">
                  <c:v>FY2020</c:v>
                </c:pt>
                <c:pt idx="1">
                  <c:v>FY2021</c:v>
                </c:pt>
                <c:pt idx="2">
                  <c:v>FY2022</c:v>
                </c:pt>
                <c:pt idx="3">
                  <c:v>FY2023</c:v>
                </c:pt>
                <c:pt idx="4">
                  <c:v>FY2024</c:v>
                </c:pt>
                <c:pt idx="5">
                  <c:v>FY2025</c:v>
                </c:pt>
                <c:pt idx="6">
                  <c:v>FY2026</c:v>
                </c:pt>
              </c:strCache>
            </c:strRef>
          </c:cat>
          <c:val>
            <c:numRef>
              <c:f>'Balance sheet'!$B$16:$H$16</c:f>
              <c:numCache>
                <c:formatCode>General</c:formatCode>
                <c:ptCount val="7"/>
                <c:pt idx="0">
                  <c:v>0</c:v>
                </c:pt>
                <c:pt idx="1">
                  <c:v>0</c:v>
                </c:pt>
                <c:pt idx="2">
                  <c:v>0</c:v>
                </c:pt>
                <c:pt idx="3">
                  <c:v>0</c:v>
                </c:pt>
                <c:pt idx="4">
                  <c:v>0</c:v>
                </c:pt>
                <c:pt idx="5">
                  <c:v>0</c:v>
                </c:pt>
                <c:pt idx="6">
                  <c:v>0</c:v>
                </c:pt>
              </c:numCache>
            </c:numRef>
          </c:val>
        </c:ser>
        <c:ser>
          <c:idx val="1"/>
          <c:order val="1"/>
          <c:tx>
            <c:v>Returned to shareholders</c:v>
          </c:tx>
          <c:spPr>
            <a:solidFill>
              <a:srgbClr val="C2703D"/>
            </a:solidFill>
          </c:spPr>
          <c:cat>
            <c:strRef>
              <c:f>'Income statement'!$B$4:$H$4</c:f>
              <c:strCache>
                <c:ptCount val="7"/>
                <c:pt idx="0">
                  <c:v>FY2020</c:v>
                </c:pt>
                <c:pt idx="1">
                  <c:v>FY2021</c:v>
                </c:pt>
                <c:pt idx="2">
                  <c:v>FY2022</c:v>
                </c:pt>
                <c:pt idx="3">
                  <c:v>FY2023</c:v>
                </c:pt>
                <c:pt idx="4">
                  <c:v>FY2024</c:v>
                </c:pt>
                <c:pt idx="5">
                  <c:v>FY2025</c:v>
                </c:pt>
                <c:pt idx="6">
                  <c:v>FY2026</c:v>
                </c:pt>
              </c:strCache>
            </c:strRef>
          </c:cat>
          <c:val>
            <c:numRef>
              <c:f>'Balance sheet'!$B$19:$H$19</c:f>
              <c:numCache>
                <c:formatCode>General</c:formatCode>
                <c:ptCount val="7"/>
                <c:pt idx="0">
                  <c:v>0</c:v>
                </c:pt>
                <c:pt idx="1">
                  <c:v>0</c:v>
                </c:pt>
                <c:pt idx="2">
                  <c:v>0</c:v>
                </c:pt>
                <c:pt idx="3">
                  <c:v>0</c:v>
                </c:pt>
                <c:pt idx="4">
                  <c:v>0</c:v>
                </c:pt>
                <c:pt idx="5">
                  <c:v>0</c:v>
                </c:pt>
                <c:pt idx="6">
                  <c:v>0</c:v>
                </c:pt>
              </c:numCache>
            </c:numRef>
          </c:val>
        </c:ser>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scaling>
        <c:axPos val="l"/>
        <c:majorGridlines/>
        <c:numFmt formatCode="General" sourceLinked="1"/>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Drivers of the fall in operating income, FY2024 to FY2026 ($m)</a:t>
            </a:r>
          </a:p>
        </c:rich>
      </c:tx>
      <c:layout/>
    </c:title>
    <c:plotArea>
      <c:layout/>
      <c:barChart>
        <c:barDir val="col"/>
        <c:grouping val="clustered"/>
        <c:ser>
          <c:idx val="0"/>
          <c:order val="0"/>
          <c:tx>
            <c:v>Effect on operating income</c:v>
          </c:tx>
          <c:spPr>
            <a:solidFill>
              <a:srgbClr val="C2703D"/>
            </a:solidFill>
          </c:spPr>
          <c:dLbls>
            <c:numFmt formatCode="#,##0" sourceLinked="0"/>
            <c:showVal val="1"/>
          </c:dLbls>
          <c:cat>
            <c:strRef>
              <c:f>'Margin bridge'!$A$6:$A$8</c:f>
              <c:strCache>
                <c:ptCount val="3"/>
                <c:pt idx="0">
                  <c:v>Effect of lower revenue</c:v>
                </c:pt>
                <c:pt idx="1">
                  <c:v>Effect of lower gross margin</c:v>
                </c:pt>
                <c:pt idx="2">
                  <c:v>Effect of change in SG&amp;A</c:v>
                </c:pt>
              </c:strCache>
            </c:strRef>
          </c:cat>
          <c:val>
            <c:numRef>
              <c:f>'Margin bridge'!$B$6:$B$8</c:f>
              <c:numCache>
                <c:formatCode>General</c:formatCode>
                <c:ptCount val="3"/>
                <c:pt idx="0">
                  <c:v>0</c:v>
                </c:pt>
                <c:pt idx="1">
                  <c:v>0</c:v>
                </c:pt>
                <c:pt idx="2">
                  <c:v>0</c:v>
                </c:pt>
              </c:numCache>
            </c:numRef>
          </c:val>
        </c:ser>
        <c:axId val="50050001"/>
        <c:axId val="50050002"/>
      </c:bar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Net income by scenario ($m)</a:t>
            </a:r>
          </a:p>
        </c:rich>
      </c:tx>
      <c:layout/>
    </c:title>
    <c:plotArea>
      <c:layout/>
      <c:barChart>
        <c:barDir val="col"/>
        <c:grouping val="clustered"/>
        <c:ser>
          <c:idx val="0"/>
          <c:order val="0"/>
          <c:tx>
            <c:v>Low</c:v>
          </c:tx>
          <c:spPr>
            <a:solidFill>
              <a:srgbClr val="8FA6C4"/>
            </a:solidFill>
          </c:spPr>
          <c:cat>
            <c:strRef>
              <c:f>Forecast!$B$76:$D$76</c:f>
              <c:strCache>
                <c:ptCount val="3"/>
                <c:pt idx="0">
                  <c:v>FY2026 actual</c:v>
                </c:pt>
                <c:pt idx="1">
                  <c:v>FY2027</c:v>
                </c:pt>
                <c:pt idx="2">
                  <c:v>FY2028</c:v>
                </c:pt>
              </c:strCache>
            </c:strRef>
          </c:cat>
          <c:val>
            <c:numRef>
              <c:f>Forecast!$B$77:$D$77</c:f>
              <c:numCache>
                <c:formatCode>General</c:formatCode>
                <c:ptCount val="3"/>
                <c:pt idx="0">
                  <c:v>0</c:v>
                </c:pt>
                <c:pt idx="1">
                  <c:v>0</c:v>
                </c:pt>
                <c:pt idx="2">
                  <c:v>0</c:v>
                </c:pt>
              </c:numCache>
            </c:numRef>
          </c:val>
        </c:ser>
        <c:ser>
          <c:idx val="1"/>
          <c:order val="1"/>
          <c:tx>
            <c:v>Base</c:v>
          </c:tx>
          <c:spPr>
            <a:solidFill>
              <a:srgbClr val="2E4A72"/>
            </a:solidFill>
          </c:spPr>
          <c:cat>
            <c:strRef>
              <c:f>Forecast!$B$76:$D$76</c:f>
              <c:strCache>
                <c:ptCount val="3"/>
                <c:pt idx="0">
                  <c:v>FY2026 actual</c:v>
                </c:pt>
                <c:pt idx="1">
                  <c:v>FY2027</c:v>
                </c:pt>
                <c:pt idx="2">
                  <c:v>FY2028</c:v>
                </c:pt>
              </c:strCache>
            </c:strRef>
          </c:cat>
          <c:val>
            <c:numRef>
              <c:f>Forecast!$B$78:$D$78</c:f>
              <c:numCache>
                <c:formatCode>General</c:formatCode>
                <c:ptCount val="3"/>
                <c:pt idx="0">
                  <c:v>0</c:v>
                </c:pt>
                <c:pt idx="1">
                  <c:v>0</c:v>
                </c:pt>
                <c:pt idx="2">
                  <c:v>0</c:v>
                </c:pt>
              </c:numCache>
            </c:numRef>
          </c:val>
        </c:ser>
        <c:ser>
          <c:idx val="2"/>
          <c:order val="2"/>
          <c:tx>
            <c:v>High</c:v>
          </c:tx>
          <c:spPr>
            <a:solidFill>
              <a:srgbClr val="C2703D"/>
            </a:solidFill>
          </c:spPr>
          <c:cat>
            <c:strRef>
              <c:f>Forecast!$B$76:$D$76</c:f>
              <c:strCache>
                <c:ptCount val="3"/>
                <c:pt idx="0">
                  <c:v>FY2026 actual</c:v>
                </c:pt>
                <c:pt idx="1">
                  <c:v>FY2027</c:v>
                </c:pt>
                <c:pt idx="2">
                  <c:v>FY2028</c:v>
                </c:pt>
              </c:strCache>
            </c:strRef>
          </c:cat>
          <c:val>
            <c:numRef>
              <c:f>Forecast!$B$79:$D$79</c:f>
              <c:numCache>
                <c:formatCode>General</c:formatCode>
                <c:ptCount val="3"/>
                <c:pt idx="0">
                  <c:v>0</c:v>
                </c:pt>
                <c:pt idx="1">
                  <c:v>0</c:v>
                </c:pt>
                <c:pt idx="2">
                  <c:v>0</c:v>
                </c:pt>
              </c:numCache>
            </c:numRef>
          </c:val>
        </c:ser>
        <c:axId val="50060001"/>
        <c:axId val="50060002"/>
      </c:bar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numFmt formatCode="General" sourceLinked="1"/>
        <c:tickLblPos val="nextTo"/>
        <c:crossAx val="5006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7</xdr:col>
      <xdr:colOff>952500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4</xdr:col>
      <xdr:colOff>476250</xdr:colOff>
      <xdr:row>43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28</xdr:row>
      <xdr:rowOff>0</xdr:rowOff>
    </xdr:from>
    <xdr:to>
      <xdr:col>8</xdr:col>
      <xdr:colOff>476250</xdr:colOff>
      <xdr:row>43</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45</xdr:row>
      <xdr:rowOff>0</xdr:rowOff>
    </xdr:from>
    <xdr:to>
      <xdr:col>7</xdr:col>
      <xdr:colOff>952500</xdr:colOff>
      <xdr:row>60</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0</xdr:rowOff>
    </xdr:from>
    <xdr:to>
      <xdr:col>2</xdr:col>
      <xdr:colOff>2609850</xdr:colOff>
      <xdr:row>29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81</xdr:row>
      <xdr:rowOff>0</xdr:rowOff>
    </xdr:from>
    <xdr:to>
      <xdr:col>4</xdr:col>
      <xdr:colOff>847725</xdr:colOff>
      <xdr:row>96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B2:F63"/>
  <sheetViews>
    <sheetView showGridLines="0" tabSelected="1" workbookViewId="0"/>
  </sheetViews>
  <sheetFormatPr defaultRowHeight="15"/>
  <cols>
    <col min="1" max="1" width="2.7109375" customWidth="1"/>
    <col min="2" max="9" width="15.7109375" customWidth="1"/>
  </cols>
  <sheetData>
    <row r="2" spans="2:6">
      <c r="B2" s="1" t="s">
        <v>127</v>
      </c>
    </row>
    <row r="3" spans="2:6">
      <c r="B3" s="2" t="s">
        <v>128</v>
      </c>
    </row>
    <row r="5" spans="2:6">
      <c r="B5" s="2" t="s">
        <v>129</v>
      </c>
      <c r="D5" s="2" t="s">
        <v>79</v>
      </c>
      <c r="F5" s="2" t="s">
        <v>130</v>
      </c>
    </row>
    <row r="6" spans="2:6">
      <c r="B6" s="3">
        <f>'Income statement'!H5</f>
        <v>0</v>
      </c>
      <c r="D6" s="3">
        <f>'Income statement'!H11</f>
        <v>0</v>
      </c>
      <c r="F6" s="3">
        <f>'Income statement'!H16</f>
        <v>0</v>
      </c>
    </row>
    <row r="8" spans="2:6">
      <c r="B8" s="2" t="s">
        <v>131</v>
      </c>
      <c r="D8" s="2" t="s">
        <v>132</v>
      </c>
      <c r="F8" s="2" t="s">
        <v>133</v>
      </c>
    </row>
    <row r="9" spans="2:6">
      <c r="B9" s="4">
        <f>Ratios!H5</f>
        <v>0</v>
      </c>
      <c r="D9" s="4">
        <f>Ratios!H6</f>
        <v>0</v>
      </c>
      <c r="F9" s="5">
        <f>'Income statement'!H17</f>
        <v>0</v>
      </c>
    </row>
    <row r="63" spans="2:2">
      <c r="B63" s="6" t="s">
        <v>134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37"/>
  <sheetViews>
    <sheetView showGridLines="0" workbookViewId="0"/>
  </sheetViews>
  <sheetFormatPr defaultRowHeight="15"/>
  <cols>
    <col min="1" max="1" width="36.7109375" customWidth="1"/>
    <col min="2" max="8" width="12.7109375" customWidth="1"/>
  </cols>
  <sheetData>
    <row r="1" spans="1:8">
      <c r="A1" s="1" t="s">
        <v>0</v>
      </c>
    </row>
    <row r="2" spans="1:8" ht="30" customHeight="1">
      <c r="A2" s="6" t="s">
        <v>1</v>
      </c>
    </row>
    <row r="4" spans="1:8">
      <c r="A4" s="7" t="s">
        <v>2</v>
      </c>
      <c r="B4" s="7" t="s">
        <v>3</v>
      </c>
      <c r="C4" s="7" t="s">
        <v>4</v>
      </c>
      <c r="D4" s="7" t="s">
        <v>5</v>
      </c>
      <c r="E4" s="7" t="s">
        <v>6</v>
      </c>
      <c r="F4" s="7" t="s">
        <v>7</v>
      </c>
      <c r="G4" s="7" t="s">
        <v>8</v>
      </c>
      <c r="H4" s="7" t="s">
        <v>9</v>
      </c>
    </row>
    <row r="5" spans="1:8">
      <c r="A5" s="8" t="s">
        <v>10</v>
      </c>
      <c r="B5" s="9">
        <v>37403</v>
      </c>
      <c r="C5" s="9">
        <v>44538</v>
      </c>
      <c r="D5" s="9">
        <v>46710</v>
      </c>
      <c r="E5" s="9">
        <v>51217</v>
      </c>
      <c r="F5" s="9">
        <v>51362</v>
      </c>
      <c r="G5" s="9">
        <v>46309</v>
      </c>
      <c r="H5" s="9">
        <v>46398</v>
      </c>
    </row>
    <row r="6" spans="1:8">
      <c r="A6" s="10" t="s">
        <v>11</v>
      </c>
      <c r="B6" s="9">
        <v>21162</v>
      </c>
      <c r="C6" s="9">
        <v>24576</v>
      </c>
      <c r="D6" s="9">
        <v>25231</v>
      </c>
      <c r="E6" s="9">
        <v>28925</v>
      </c>
      <c r="F6" s="9">
        <v>28475</v>
      </c>
      <c r="G6" s="9">
        <v>26519</v>
      </c>
      <c r="H6" s="9">
        <v>26487</v>
      </c>
    </row>
    <row r="7" spans="1:8">
      <c r="A7" s="8" t="s">
        <v>12</v>
      </c>
      <c r="B7" s="9">
        <v>16241</v>
      </c>
      <c r="C7" s="9">
        <v>19962</v>
      </c>
      <c r="D7" s="9">
        <v>21479</v>
      </c>
      <c r="E7" s="9">
        <v>22292</v>
      </c>
      <c r="F7" s="9">
        <v>22887</v>
      </c>
      <c r="G7" s="9">
        <v>19790</v>
      </c>
      <c r="H7" s="9">
        <v>19911</v>
      </c>
    </row>
    <row r="8" spans="1:8">
      <c r="A8" s="10" t="s">
        <v>13</v>
      </c>
      <c r="B8" s="9">
        <v>3592</v>
      </c>
      <c r="C8" s="9">
        <v>3114</v>
      </c>
      <c r="D8" s="9">
        <v>3850</v>
      </c>
      <c r="E8" s="9">
        <v>4060</v>
      </c>
      <c r="F8" s="9">
        <v>4285</v>
      </c>
      <c r="G8" s="9">
        <v>4689</v>
      </c>
      <c r="H8" s="9">
        <v>4754</v>
      </c>
    </row>
    <row r="9" spans="1:8">
      <c r="A9" s="10" t="s">
        <v>14</v>
      </c>
      <c r="B9" s="9">
        <v>9534</v>
      </c>
      <c r="C9" s="9">
        <v>9911</v>
      </c>
      <c r="D9" s="9">
        <v>10954</v>
      </c>
      <c r="E9" s="9">
        <v>12317</v>
      </c>
      <c r="F9" s="9">
        <v>12291</v>
      </c>
      <c r="G9" s="9">
        <v>11399</v>
      </c>
      <c r="H9" s="9">
        <v>11360</v>
      </c>
    </row>
    <row r="10" spans="1:8">
      <c r="A10" s="8" t="s">
        <v>15</v>
      </c>
      <c r="B10" s="9">
        <v>13126</v>
      </c>
      <c r="C10" s="9">
        <v>13025</v>
      </c>
      <c r="D10" s="9">
        <v>14804</v>
      </c>
      <c r="E10" s="9">
        <v>16377</v>
      </c>
      <c r="F10" s="9">
        <v>16576</v>
      </c>
      <c r="G10" s="9">
        <v>16088</v>
      </c>
      <c r="H10" s="9">
        <v>16114</v>
      </c>
    </row>
    <row r="11" spans="1:8">
      <c r="A11" s="8" t="s">
        <v>16</v>
      </c>
      <c r="B11" s="11">
        <f>B7-B10</f>
        <v>0</v>
      </c>
      <c r="C11" s="11">
        <f>C7-C10</f>
        <v>0</v>
      </c>
      <c r="D11" s="11">
        <f>D7-D10</f>
        <v>0</v>
      </c>
      <c r="E11" s="11">
        <f>E7-E10</f>
        <v>0</v>
      </c>
      <c r="F11" s="11">
        <f>F7-F10</f>
        <v>0</v>
      </c>
      <c r="G11" s="11">
        <f>G7-G10</f>
        <v>0</v>
      </c>
      <c r="H11" s="11">
        <f>H7-H10</f>
        <v>0</v>
      </c>
    </row>
    <row r="12" spans="1:8">
      <c r="A12" s="10" t="s">
        <v>17</v>
      </c>
      <c r="B12" s="9">
        <v>-89</v>
      </c>
      <c r="C12" s="9">
        <v>-262</v>
      </c>
      <c r="D12" s="9">
        <v>-205</v>
      </c>
      <c r="E12" s="9">
        <v>6</v>
      </c>
      <c r="F12" s="9">
        <v>161</v>
      </c>
      <c r="G12" s="9">
        <v>107</v>
      </c>
      <c r="H12" s="9">
        <v>50</v>
      </c>
    </row>
    <row r="13" spans="1:8">
      <c r="A13" s="10" t="s">
        <v>18</v>
      </c>
      <c r="B13" s="9">
        <v>-139</v>
      </c>
      <c r="C13" s="9">
        <v>-14</v>
      </c>
      <c r="D13" s="9">
        <v>181</v>
      </c>
      <c r="E13" s="9">
        <v>280</v>
      </c>
      <c r="F13" s="9">
        <v>228</v>
      </c>
      <c r="G13" s="9">
        <v>76</v>
      </c>
      <c r="H13" s="9">
        <v>53</v>
      </c>
    </row>
    <row r="14" spans="1:8">
      <c r="A14" s="8" t="s">
        <v>19</v>
      </c>
      <c r="B14" s="11">
        <f>B11+B12+B13</f>
        <v>0</v>
      </c>
      <c r="C14" s="11">
        <f>C11+C12+C13</f>
        <v>0</v>
      </c>
      <c r="D14" s="11">
        <f>D11+D12+D13</f>
        <v>0</v>
      </c>
      <c r="E14" s="11">
        <f>E11+E12+E13</f>
        <v>0</v>
      </c>
      <c r="F14" s="11">
        <f>F11+F12+F13</f>
        <v>0</v>
      </c>
      <c r="G14" s="11">
        <f>G11+G12+G13</f>
        <v>0</v>
      </c>
      <c r="H14" s="11">
        <f>H11+H12+H13</f>
        <v>0</v>
      </c>
    </row>
    <row r="15" spans="1:8">
      <c r="A15" s="10" t="s">
        <v>20</v>
      </c>
      <c r="B15" s="9">
        <v>348</v>
      </c>
      <c r="C15" s="9">
        <v>934</v>
      </c>
      <c r="D15" s="9">
        <v>605</v>
      </c>
      <c r="E15" s="9">
        <v>1131</v>
      </c>
      <c r="F15" s="9">
        <v>1000</v>
      </c>
      <c r="G15" s="9">
        <v>666</v>
      </c>
      <c r="H15" s="9">
        <v>792</v>
      </c>
    </row>
    <row r="16" spans="1:8">
      <c r="A16" s="8" t="s">
        <v>21</v>
      </c>
      <c r="B16" s="11">
        <f>B14-B15</f>
        <v>0</v>
      </c>
      <c r="C16" s="11">
        <f>C14-C15</f>
        <v>0</v>
      </c>
      <c r="D16" s="11">
        <f>D14-D15</f>
        <v>0</v>
      </c>
      <c r="E16" s="11">
        <f>E14-E15</f>
        <v>0</v>
      </c>
      <c r="F16" s="11">
        <f>F14-F15</f>
        <v>0</v>
      </c>
      <c r="G16" s="11">
        <f>G14-G15</f>
        <v>0</v>
      </c>
      <c r="H16" s="11">
        <f>H14-H15</f>
        <v>0</v>
      </c>
    </row>
    <row r="17" spans="1:8">
      <c r="A17" s="10" t="s">
        <v>22</v>
      </c>
      <c r="B17" s="12">
        <v>1.6</v>
      </c>
      <c r="C17" s="12">
        <v>3.6</v>
      </c>
      <c r="D17" s="12">
        <v>3.8</v>
      </c>
      <c r="E17" s="12">
        <v>3.2</v>
      </c>
      <c r="F17" s="12">
        <v>3.7</v>
      </c>
      <c r="G17" s="12">
        <v>2.2</v>
      </c>
      <c r="H17" s="12">
        <v>2.1</v>
      </c>
    </row>
    <row r="18" spans="1:8">
      <c r="A18" s="10" t="s">
        <v>23</v>
      </c>
      <c r="B18" s="9">
        <v>1591.6</v>
      </c>
      <c r="C18" s="9">
        <v>1609.4</v>
      </c>
      <c r="D18" s="9">
        <v>1610.8</v>
      </c>
      <c r="E18" s="9">
        <v>1569.8</v>
      </c>
      <c r="F18" s="9">
        <v>1529.7</v>
      </c>
      <c r="G18" s="9">
        <v>1487.6</v>
      </c>
      <c r="H18" s="9">
        <v>1481</v>
      </c>
    </row>
    <row r="20" spans="1:8">
      <c r="A20" s="13" t="s">
        <v>24</v>
      </c>
      <c r="B20" s="7" t="s">
        <v>3</v>
      </c>
      <c r="C20" s="7" t="s">
        <v>4</v>
      </c>
      <c r="D20" s="7" t="s">
        <v>5</v>
      </c>
      <c r="E20" s="7" t="s">
        <v>6</v>
      </c>
      <c r="F20" s="7" t="s">
        <v>7</v>
      </c>
      <c r="G20" s="7" t="s">
        <v>8</v>
      </c>
      <c r="H20" s="7" t="s">
        <v>9</v>
      </c>
    </row>
    <row r="21" spans="1:8">
      <c r="A21" s="8" t="s">
        <v>25</v>
      </c>
      <c r="B21" s="14">
        <f>B7/B$5</f>
        <v>0</v>
      </c>
      <c r="C21" s="14">
        <f>C7/C$5</f>
        <v>0</v>
      </c>
      <c r="D21" s="14">
        <f>D7/D$5</f>
        <v>0</v>
      </c>
      <c r="E21" s="14">
        <f>E7/E$5</f>
        <v>0</v>
      </c>
      <c r="F21" s="14">
        <f>F7/F$5</f>
        <v>0</v>
      </c>
      <c r="G21" s="14">
        <f>G7/G$5</f>
        <v>0</v>
      </c>
      <c r="H21" s="14">
        <f>H7/H$5</f>
        <v>0</v>
      </c>
    </row>
    <row r="22" spans="1:8">
      <c r="A22" s="10" t="s">
        <v>13</v>
      </c>
      <c r="B22" s="15">
        <f>B8/B$5</f>
        <v>0</v>
      </c>
      <c r="C22" s="15">
        <f>C8/C$5</f>
        <v>0</v>
      </c>
      <c r="D22" s="15">
        <f>D8/D$5</f>
        <v>0</v>
      </c>
      <c r="E22" s="15">
        <f>E8/E$5</f>
        <v>0</v>
      </c>
      <c r="F22" s="15">
        <f>F8/F$5</f>
        <v>0</v>
      </c>
      <c r="G22" s="15">
        <f>G8/G$5</f>
        <v>0</v>
      </c>
      <c r="H22" s="15">
        <f>H8/H$5</f>
        <v>0</v>
      </c>
    </row>
    <row r="23" spans="1:8">
      <c r="A23" s="10" t="s">
        <v>14</v>
      </c>
      <c r="B23" s="15">
        <f>B9/B$5</f>
        <v>0</v>
      </c>
      <c r="C23" s="15">
        <f>C9/C$5</f>
        <v>0</v>
      </c>
      <c r="D23" s="15">
        <f>D9/D$5</f>
        <v>0</v>
      </c>
      <c r="E23" s="15">
        <f>E9/E$5</f>
        <v>0</v>
      </c>
      <c r="F23" s="15">
        <f>F9/F$5</f>
        <v>0</v>
      </c>
      <c r="G23" s="15">
        <f>G9/G$5</f>
        <v>0</v>
      </c>
      <c r="H23" s="15">
        <f>H9/H$5</f>
        <v>0</v>
      </c>
    </row>
    <row r="24" spans="1:8">
      <c r="A24" s="10" t="s">
        <v>26</v>
      </c>
      <c r="B24" s="15">
        <f>B10/B$5</f>
        <v>0</v>
      </c>
      <c r="C24" s="15">
        <f>C10/C$5</f>
        <v>0</v>
      </c>
      <c r="D24" s="15">
        <f>D10/D$5</f>
        <v>0</v>
      </c>
      <c r="E24" s="15">
        <f>E10/E$5</f>
        <v>0</v>
      </c>
      <c r="F24" s="15">
        <f>F10/F$5</f>
        <v>0</v>
      </c>
      <c r="G24" s="15">
        <f>G10/G$5</f>
        <v>0</v>
      </c>
      <c r="H24" s="15">
        <f>H10/H$5</f>
        <v>0</v>
      </c>
    </row>
    <row r="25" spans="1:8">
      <c r="A25" s="8" t="s">
        <v>27</v>
      </c>
      <c r="B25" s="14">
        <f>B11/B$5</f>
        <v>0</v>
      </c>
      <c r="C25" s="14">
        <f>C11/C$5</f>
        <v>0</v>
      </c>
      <c r="D25" s="14">
        <f>D11/D$5</f>
        <v>0</v>
      </c>
      <c r="E25" s="14">
        <f>E11/E$5</f>
        <v>0</v>
      </c>
      <c r="F25" s="14">
        <f>F11/F$5</f>
        <v>0</v>
      </c>
      <c r="G25" s="14">
        <f>G11/G$5</f>
        <v>0</v>
      </c>
      <c r="H25" s="14">
        <f>H11/H$5</f>
        <v>0</v>
      </c>
    </row>
    <row r="26" spans="1:8">
      <c r="A26" s="8" t="s">
        <v>28</v>
      </c>
      <c r="B26" s="14">
        <f>B16/B$5</f>
        <v>0</v>
      </c>
      <c r="C26" s="14">
        <f>C16/C$5</f>
        <v>0</v>
      </c>
      <c r="D26" s="14">
        <f>D16/D$5</f>
        <v>0</v>
      </c>
      <c r="E26" s="14">
        <f>E16/E$5</f>
        <v>0</v>
      </c>
      <c r="F26" s="14">
        <f>F16/F$5</f>
        <v>0</v>
      </c>
      <c r="G26" s="14">
        <f>G16/G$5</f>
        <v>0</v>
      </c>
      <c r="H26" s="14">
        <f>H16/H$5</f>
        <v>0</v>
      </c>
    </row>
    <row r="29" spans="1:8">
      <c r="A29" s="13" t="s">
        <v>29</v>
      </c>
      <c r="B29" s="7" t="s">
        <v>3</v>
      </c>
      <c r="C29" s="7" t="s">
        <v>4</v>
      </c>
      <c r="D29" s="7" t="s">
        <v>5</v>
      </c>
      <c r="E29" s="7" t="s">
        <v>6</v>
      </c>
      <c r="F29" s="7" t="s">
        <v>7</v>
      </c>
      <c r="G29" s="7" t="s">
        <v>8</v>
      </c>
      <c r="H29" s="7" t="s">
        <v>9</v>
      </c>
    </row>
    <row r="30" spans="1:8">
      <c r="A30" s="10" t="s">
        <v>10</v>
      </c>
      <c r="B30" s="10" t="s">
        <v>30</v>
      </c>
      <c r="C30" s="15">
        <f>C5/B5-1</f>
        <v>0</v>
      </c>
      <c r="D30" s="15">
        <f>D5/C5-1</f>
        <v>0</v>
      </c>
      <c r="E30" s="15">
        <f>E5/D5-1</f>
        <v>0</v>
      </c>
      <c r="F30" s="15">
        <f>F5/E5-1</f>
        <v>0</v>
      </c>
      <c r="G30" s="15">
        <f>G5/F5-1</f>
        <v>0</v>
      </c>
      <c r="H30" s="15">
        <f>H5/G5-1</f>
        <v>0</v>
      </c>
    </row>
    <row r="31" spans="1:8">
      <c r="A31" s="10" t="s">
        <v>12</v>
      </c>
      <c r="B31" s="10" t="s">
        <v>30</v>
      </c>
      <c r="C31" s="15">
        <f>C7/B7-1</f>
        <v>0</v>
      </c>
      <c r="D31" s="15">
        <f>D7/C7-1</f>
        <v>0</v>
      </c>
      <c r="E31" s="15">
        <f>E7/D7-1</f>
        <v>0</v>
      </c>
      <c r="F31" s="15">
        <f>F7/E7-1</f>
        <v>0</v>
      </c>
      <c r="G31" s="15">
        <f>G7/F7-1</f>
        <v>0</v>
      </c>
      <c r="H31" s="15">
        <f>H7/G7-1</f>
        <v>0</v>
      </c>
    </row>
    <row r="32" spans="1:8">
      <c r="A32" s="10" t="s">
        <v>26</v>
      </c>
      <c r="B32" s="10" t="s">
        <v>30</v>
      </c>
      <c r="C32" s="15">
        <f>C10/B10-1</f>
        <v>0</v>
      </c>
      <c r="D32" s="15">
        <f>D10/C10-1</f>
        <v>0</v>
      </c>
      <c r="E32" s="15">
        <f>E10/D10-1</f>
        <v>0</v>
      </c>
      <c r="F32" s="15">
        <f>F10/E10-1</f>
        <v>0</v>
      </c>
      <c r="G32" s="15">
        <f>G10/F10-1</f>
        <v>0</v>
      </c>
      <c r="H32" s="15">
        <f>H10/G10-1</f>
        <v>0</v>
      </c>
    </row>
    <row r="33" spans="1:8">
      <c r="A33" s="10" t="s">
        <v>31</v>
      </c>
      <c r="B33" s="10" t="s">
        <v>30</v>
      </c>
      <c r="C33" s="15">
        <f>C11/B11-1</f>
        <v>0</v>
      </c>
      <c r="D33" s="15">
        <f>D11/C11-1</f>
        <v>0</v>
      </c>
      <c r="E33" s="15">
        <f>E11/D11-1</f>
        <v>0</v>
      </c>
      <c r="F33" s="15">
        <f>F11/E11-1</f>
        <v>0</v>
      </c>
      <c r="G33" s="15">
        <f>G11/F11-1</f>
        <v>0</v>
      </c>
      <c r="H33" s="15">
        <f>H11/G11-1</f>
        <v>0</v>
      </c>
    </row>
    <row r="34" spans="1:8">
      <c r="A34" s="10" t="s">
        <v>21</v>
      </c>
      <c r="B34" s="10" t="s">
        <v>30</v>
      </c>
      <c r="C34" s="15">
        <f>C16/B16-1</f>
        <v>0</v>
      </c>
      <c r="D34" s="15">
        <f>D16/C16-1</f>
        <v>0</v>
      </c>
      <c r="E34" s="15">
        <f>E16/D16-1</f>
        <v>0</v>
      </c>
      <c r="F34" s="15">
        <f>F16/E16-1</f>
        <v>0</v>
      </c>
      <c r="G34" s="15">
        <f>G16/F16-1</f>
        <v>0</v>
      </c>
      <c r="H34" s="15">
        <f>H16/G16-1</f>
        <v>0</v>
      </c>
    </row>
    <row r="37" spans="1:8" ht="44" customHeight="1">
      <c r="A37" s="6"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2"/>
  <sheetViews>
    <sheetView showGridLines="0" workbookViewId="0"/>
  </sheetViews>
  <sheetFormatPr defaultRowHeight="15"/>
  <cols>
    <col min="1" max="1" width="36.7109375" customWidth="1"/>
    <col min="2" max="8" width="12.7109375" customWidth="1"/>
  </cols>
  <sheetData>
    <row r="1" spans="1:8">
      <c r="A1" s="1" t="s">
        <v>33</v>
      </c>
    </row>
    <row r="2" spans="1:8">
      <c r="A2" s="6" t="s">
        <v>34</v>
      </c>
    </row>
    <row r="4" spans="1:8">
      <c r="A4" s="7" t="s">
        <v>2</v>
      </c>
      <c r="B4" s="7" t="s">
        <v>3</v>
      </c>
      <c r="C4" s="7" t="s">
        <v>4</v>
      </c>
      <c r="D4" s="7" t="s">
        <v>5</v>
      </c>
      <c r="E4" s="7" t="s">
        <v>6</v>
      </c>
      <c r="F4" s="7" t="s">
        <v>7</v>
      </c>
      <c r="G4" s="7" t="s">
        <v>8</v>
      </c>
      <c r="H4" s="7" t="s">
        <v>9</v>
      </c>
    </row>
    <row r="5" spans="1:8">
      <c r="A5" s="10" t="s">
        <v>35</v>
      </c>
      <c r="B5" s="9">
        <v>8348</v>
      </c>
      <c r="C5" s="9">
        <v>9889</v>
      </c>
      <c r="D5" s="9">
        <v>8574</v>
      </c>
      <c r="E5" s="9">
        <v>7441</v>
      </c>
      <c r="F5" s="9">
        <v>9860</v>
      </c>
      <c r="G5" s="9">
        <v>7464</v>
      </c>
      <c r="H5" s="9">
        <v>7563</v>
      </c>
    </row>
    <row r="6" spans="1:8">
      <c r="A6" s="10" t="s">
        <v>36</v>
      </c>
      <c r="B6" s="9">
        <v>2749</v>
      </c>
      <c r="C6" s="9">
        <v>4463</v>
      </c>
      <c r="D6" s="9">
        <v>4667</v>
      </c>
      <c r="E6" s="9">
        <v>4131</v>
      </c>
      <c r="F6" s="9">
        <v>4427</v>
      </c>
      <c r="G6" s="9">
        <v>4717</v>
      </c>
      <c r="H6" s="9">
        <v>5931</v>
      </c>
    </row>
    <row r="7" spans="1:8">
      <c r="A7" s="10" t="s">
        <v>37</v>
      </c>
      <c r="B7" s="9">
        <v>7367</v>
      </c>
      <c r="C7" s="9">
        <v>6854</v>
      </c>
      <c r="D7" s="9">
        <v>8420</v>
      </c>
      <c r="E7" s="9">
        <v>8454</v>
      </c>
      <c r="F7" s="9">
        <v>7519</v>
      </c>
      <c r="G7" s="9">
        <v>7489</v>
      </c>
      <c r="H7" s="9">
        <v>7501</v>
      </c>
    </row>
    <row r="8" spans="1:8">
      <c r="A8" s="10" t="s">
        <v>38</v>
      </c>
      <c r="B8" s="9">
        <v>20556</v>
      </c>
      <c r="C8" s="9">
        <v>26291</v>
      </c>
      <c r="D8" s="9">
        <v>28213</v>
      </c>
      <c r="E8" s="9">
        <v>25202</v>
      </c>
      <c r="F8" s="9">
        <v>25382</v>
      </c>
      <c r="G8" s="9">
        <v>23362</v>
      </c>
      <c r="H8" s="9">
        <v>24603</v>
      </c>
    </row>
    <row r="9" spans="1:8">
      <c r="A9" s="8" t="s">
        <v>39</v>
      </c>
      <c r="B9" s="11">
        <v>31342</v>
      </c>
      <c r="C9" s="11">
        <v>37740</v>
      </c>
      <c r="D9" s="11">
        <v>40321</v>
      </c>
      <c r="E9" s="11">
        <v>37531</v>
      </c>
      <c r="F9" s="11">
        <v>38110</v>
      </c>
      <c r="G9" s="11">
        <v>36579</v>
      </c>
      <c r="H9" s="11">
        <v>38410</v>
      </c>
    </row>
    <row r="10" spans="1:8">
      <c r="A10" s="10" t="s">
        <v>40</v>
      </c>
      <c r="B10" s="9">
        <v>8284</v>
      </c>
      <c r="C10" s="9">
        <v>9674</v>
      </c>
      <c r="D10" s="9">
        <v>10730</v>
      </c>
      <c r="E10" s="9">
        <v>9256</v>
      </c>
      <c r="F10" s="9">
        <v>10593</v>
      </c>
      <c r="G10" s="9">
        <v>10566</v>
      </c>
      <c r="H10" s="9">
        <v>12547</v>
      </c>
    </row>
    <row r="11" spans="1:8">
      <c r="A11" s="10" t="s">
        <v>41</v>
      </c>
      <c r="B11" s="9">
        <v>9406</v>
      </c>
      <c r="C11" s="9">
        <v>9413</v>
      </c>
      <c r="D11" s="9">
        <v>8920</v>
      </c>
      <c r="E11" s="9">
        <v>8927</v>
      </c>
      <c r="F11" s="9">
        <v>7903</v>
      </c>
      <c r="G11" s="9">
        <v>7961</v>
      </c>
      <c r="H11" s="9">
        <v>5942</v>
      </c>
    </row>
    <row r="12" spans="1:8">
      <c r="A12" s="8" t="s">
        <v>42</v>
      </c>
      <c r="B12" s="11">
        <v>8055</v>
      </c>
      <c r="C12" s="11">
        <v>12767</v>
      </c>
      <c r="D12" s="11">
        <v>15281</v>
      </c>
      <c r="E12" s="11">
        <v>14004</v>
      </c>
      <c r="F12" s="11">
        <v>14430</v>
      </c>
      <c r="G12" s="11">
        <v>13213</v>
      </c>
      <c r="H12" s="11">
        <v>14865</v>
      </c>
    </row>
    <row r="14" spans="1:8">
      <c r="A14" s="10" t="s">
        <v>43</v>
      </c>
      <c r="B14" s="9">
        <v>2485</v>
      </c>
      <c r="C14" s="9">
        <v>6657</v>
      </c>
      <c r="D14" s="9">
        <v>5188</v>
      </c>
      <c r="E14" s="9">
        <v>5841</v>
      </c>
      <c r="F14" s="9">
        <v>7429</v>
      </c>
      <c r="G14" s="9">
        <v>3698</v>
      </c>
      <c r="H14" s="9">
        <v>2868</v>
      </c>
    </row>
    <row r="15" spans="1:8">
      <c r="A15" s="10" t="s">
        <v>44</v>
      </c>
      <c r="B15" s="9">
        <v>1086</v>
      </c>
      <c r="C15" s="9">
        <v>695</v>
      </c>
      <c r="D15" s="9">
        <v>758</v>
      </c>
      <c r="E15" s="9">
        <v>969</v>
      </c>
      <c r="F15" s="9">
        <v>812</v>
      </c>
      <c r="G15" s="9">
        <v>430</v>
      </c>
      <c r="H15" s="9">
        <v>684</v>
      </c>
    </row>
    <row r="16" spans="1:8">
      <c r="A16" s="8" t="s">
        <v>45</v>
      </c>
      <c r="B16" s="11">
        <f>B14-B15</f>
        <v>0</v>
      </c>
      <c r="C16" s="11">
        <f>C14-C15</f>
        <v>0</v>
      </c>
      <c r="D16" s="11">
        <f>D14-D15</f>
        <v>0</v>
      </c>
      <c r="E16" s="11">
        <f>E14-E15</f>
        <v>0</v>
      </c>
      <c r="F16" s="11">
        <f>F14-F15</f>
        <v>0</v>
      </c>
      <c r="G16" s="11">
        <f>G14-G15</f>
        <v>0</v>
      </c>
      <c r="H16" s="11">
        <f>H14-H15</f>
        <v>0</v>
      </c>
    </row>
    <row r="17" spans="1:8">
      <c r="A17" s="10" t="s">
        <v>46</v>
      </c>
      <c r="B17" s="9">
        <v>1452</v>
      </c>
      <c r="C17" s="9">
        <v>1638</v>
      </c>
      <c r="D17" s="9">
        <v>1837</v>
      </c>
      <c r="E17" s="9">
        <v>2012</v>
      </c>
      <c r="F17" s="9">
        <v>2169</v>
      </c>
      <c r="G17" s="9">
        <v>2300</v>
      </c>
      <c r="H17" s="9">
        <v>2407</v>
      </c>
    </row>
    <row r="18" spans="1:8">
      <c r="A18" s="10" t="s">
        <v>47</v>
      </c>
      <c r="B18" s="9">
        <v>3067</v>
      </c>
      <c r="C18" s="9">
        <v>608</v>
      </c>
      <c r="D18" s="9">
        <v>4014</v>
      </c>
      <c r="E18" s="9">
        <v>5480</v>
      </c>
      <c r="F18" s="9">
        <v>4250</v>
      </c>
      <c r="G18" s="9">
        <v>2985</v>
      </c>
      <c r="H18" s="9">
        <v>146</v>
      </c>
    </row>
    <row r="19" spans="1:8">
      <c r="A19" s="8" t="s">
        <v>48</v>
      </c>
      <c r="B19" s="11">
        <f>B17+B18</f>
        <v>0</v>
      </c>
      <c r="C19" s="11">
        <f>C17+C18</f>
        <v>0</v>
      </c>
      <c r="D19" s="11">
        <f>D17+D18</f>
        <v>0</v>
      </c>
      <c r="E19" s="11">
        <f>E17+E18</f>
        <v>0</v>
      </c>
      <c r="F19" s="11">
        <f>F17+F18</f>
        <v>0</v>
      </c>
      <c r="G19" s="11">
        <f>G17+G18</f>
        <v>0</v>
      </c>
      <c r="H19" s="11">
        <f>H17+H18</f>
        <v>0</v>
      </c>
    </row>
    <row r="22" spans="1:8" ht="30" customHeight="1">
      <c r="A22" s="6"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6"/>
  <sheetViews>
    <sheetView showGridLines="0" workbookViewId="0"/>
  </sheetViews>
  <sheetFormatPr defaultRowHeight="15"/>
  <cols>
    <col min="1" max="1" width="36.7109375" customWidth="1"/>
    <col min="2" max="8" width="12.7109375" customWidth="1"/>
  </cols>
  <sheetData>
    <row r="1" spans="1:8">
      <c r="A1" s="1" t="s">
        <v>50</v>
      </c>
    </row>
    <row r="2" spans="1:8">
      <c r="A2" s="6" t="s">
        <v>51</v>
      </c>
    </row>
    <row r="4" spans="1:8">
      <c r="A4" s="13" t="s">
        <v>52</v>
      </c>
      <c r="B4" s="7" t="s">
        <v>3</v>
      </c>
      <c r="C4" s="7" t="s">
        <v>4</v>
      </c>
      <c r="D4" s="7" t="s">
        <v>5</v>
      </c>
      <c r="E4" s="7" t="s">
        <v>6</v>
      </c>
      <c r="F4" s="7" t="s">
        <v>7</v>
      </c>
      <c r="G4" s="7" t="s">
        <v>8</v>
      </c>
      <c r="H4" s="7" t="s">
        <v>9</v>
      </c>
    </row>
    <row r="5" spans="1:8">
      <c r="A5" s="10" t="s">
        <v>25</v>
      </c>
      <c r="B5" s="15">
        <f>'Income statement'!B7/'Income statement'!B5</f>
        <v>0</v>
      </c>
      <c r="C5" s="15">
        <f>'Income statement'!C7/'Income statement'!C5</f>
        <v>0</v>
      </c>
      <c r="D5" s="15">
        <f>'Income statement'!D7/'Income statement'!D5</f>
        <v>0</v>
      </c>
      <c r="E5" s="15">
        <f>'Income statement'!E7/'Income statement'!E5</f>
        <v>0</v>
      </c>
      <c r="F5" s="15">
        <f>'Income statement'!F7/'Income statement'!F5</f>
        <v>0</v>
      </c>
      <c r="G5" s="15">
        <f>'Income statement'!G7/'Income statement'!G5</f>
        <v>0</v>
      </c>
      <c r="H5" s="15">
        <f>'Income statement'!H7/'Income statement'!H5</f>
        <v>0</v>
      </c>
    </row>
    <row r="6" spans="1:8">
      <c r="A6" s="10" t="s">
        <v>27</v>
      </c>
      <c r="B6" s="15">
        <f>'Income statement'!B11/'Income statement'!B5</f>
        <v>0</v>
      </c>
      <c r="C6" s="15">
        <f>'Income statement'!C11/'Income statement'!C5</f>
        <v>0</v>
      </c>
      <c r="D6" s="15">
        <f>'Income statement'!D11/'Income statement'!D5</f>
        <v>0</v>
      </c>
      <c r="E6" s="15">
        <f>'Income statement'!E11/'Income statement'!E5</f>
        <v>0</v>
      </c>
      <c r="F6" s="15">
        <f>'Income statement'!F11/'Income statement'!F5</f>
        <v>0</v>
      </c>
      <c r="G6" s="15">
        <f>'Income statement'!G11/'Income statement'!G5</f>
        <v>0</v>
      </c>
      <c r="H6" s="15">
        <f>'Income statement'!H11/'Income statement'!H5</f>
        <v>0</v>
      </c>
    </row>
    <row r="7" spans="1:8">
      <c r="A7" s="10" t="s">
        <v>28</v>
      </c>
      <c r="B7" s="15">
        <f>'Income statement'!B16/'Income statement'!B5</f>
        <v>0</v>
      </c>
      <c r="C7" s="15">
        <f>'Income statement'!C16/'Income statement'!C5</f>
        <v>0</v>
      </c>
      <c r="D7" s="15">
        <f>'Income statement'!D16/'Income statement'!D5</f>
        <v>0</v>
      </c>
      <c r="E7" s="15">
        <f>'Income statement'!E16/'Income statement'!E5</f>
        <v>0</v>
      </c>
      <c r="F7" s="15">
        <f>'Income statement'!F16/'Income statement'!F5</f>
        <v>0</v>
      </c>
      <c r="G7" s="15">
        <f>'Income statement'!G16/'Income statement'!G5</f>
        <v>0</v>
      </c>
      <c r="H7" s="15">
        <f>'Income statement'!H16/'Income statement'!H5</f>
        <v>0</v>
      </c>
    </row>
    <row r="8" spans="1:8">
      <c r="A8" s="10" t="s">
        <v>53</v>
      </c>
      <c r="B8" s="15">
        <f>'Income statement'!B10/'Income statement'!B5</f>
        <v>0</v>
      </c>
      <c r="C8" s="15">
        <f>'Income statement'!C10/'Income statement'!C5</f>
        <v>0</v>
      </c>
      <c r="D8" s="15">
        <f>'Income statement'!D10/'Income statement'!D5</f>
        <v>0</v>
      </c>
      <c r="E8" s="15">
        <f>'Income statement'!E10/'Income statement'!E5</f>
        <v>0</v>
      </c>
      <c r="F8" s="15">
        <f>'Income statement'!F10/'Income statement'!F5</f>
        <v>0</v>
      </c>
      <c r="G8" s="15">
        <f>'Income statement'!G10/'Income statement'!G5</f>
        <v>0</v>
      </c>
      <c r="H8" s="15">
        <f>'Income statement'!H10/'Income statement'!H5</f>
        <v>0</v>
      </c>
    </row>
    <row r="9" spans="1:8">
      <c r="A9" s="10" t="s">
        <v>54</v>
      </c>
      <c r="B9" s="15">
        <f>'Income statement'!B15/'Income statement'!B14</f>
        <v>0</v>
      </c>
      <c r="C9" s="15">
        <f>'Income statement'!C15/'Income statement'!C14</f>
        <v>0</v>
      </c>
      <c r="D9" s="15">
        <f>'Income statement'!D15/'Income statement'!D14</f>
        <v>0</v>
      </c>
      <c r="E9" s="15">
        <f>'Income statement'!E15/'Income statement'!E14</f>
        <v>0</v>
      </c>
      <c r="F9" s="15">
        <f>'Income statement'!F15/'Income statement'!F14</f>
        <v>0</v>
      </c>
      <c r="G9" s="15">
        <f>'Income statement'!G15/'Income statement'!G14</f>
        <v>0</v>
      </c>
      <c r="H9" s="15">
        <f>'Income statement'!H15/'Income statement'!H14</f>
        <v>0</v>
      </c>
    </row>
    <row r="12" spans="1:8">
      <c r="A12" s="13" t="s">
        <v>55</v>
      </c>
      <c r="B12" s="7" t="s">
        <v>3</v>
      </c>
      <c r="C12" s="7" t="s">
        <v>4</v>
      </c>
      <c r="D12" s="7" t="s">
        <v>5</v>
      </c>
      <c r="E12" s="7" t="s">
        <v>6</v>
      </c>
      <c r="F12" s="7" t="s">
        <v>7</v>
      </c>
      <c r="G12" s="7" t="s">
        <v>8</v>
      </c>
      <c r="H12" s="7" t="s">
        <v>9</v>
      </c>
    </row>
    <row r="13" spans="1:8">
      <c r="A13" s="10" t="s">
        <v>56</v>
      </c>
      <c r="B13" s="16">
        <f>'Balance sheet'!B8/'Balance sheet'!B10</f>
        <v>0</v>
      </c>
      <c r="C13" s="16">
        <f>'Balance sheet'!C8/'Balance sheet'!C10</f>
        <v>0</v>
      </c>
      <c r="D13" s="16">
        <f>'Balance sheet'!D8/'Balance sheet'!D10</f>
        <v>0</v>
      </c>
      <c r="E13" s="16">
        <f>'Balance sheet'!E8/'Balance sheet'!E10</f>
        <v>0</v>
      </c>
      <c r="F13" s="16">
        <f>'Balance sheet'!F8/'Balance sheet'!F10</f>
        <v>0</v>
      </c>
      <c r="G13" s="16">
        <f>'Balance sheet'!G8/'Balance sheet'!G10</f>
        <v>0</v>
      </c>
      <c r="H13" s="16">
        <f>'Balance sheet'!H8/'Balance sheet'!H10</f>
        <v>0</v>
      </c>
    </row>
    <row r="14" spans="1:8">
      <c r="A14" s="10" t="s">
        <v>57</v>
      </c>
      <c r="B14" s="17">
        <f>'Balance sheet'!B7/'Income statement'!B6*365</f>
        <v>0</v>
      </c>
      <c r="C14" s="17">
        <f>'Balance sheet'!C7/'Income statement'!C6*365</f>
        <v>0</v>
      </c>
      <c r="D14" s="17">
        <f>'Balance sheet'!D7/'Income statement'!D6*365</f>
        <v>0</v>
      </c>
      <c r="E14" s="17">
        <f>'Balance sheet'!E7/'Income statement'!E6*365</f>
        <v>0</v>
      </c>
      <c r="F14" s="17">
        <f>'Balance sheet'!F7/'Income statement'!F6*365</f>
        <v>0</v>
      </c>
      <c r="G14" s="17">
        <f>'Balance sheet'!G7/'Income statement'!G6*365</f>
        <v>0</v>
      </c>
      <c r="H14" s="17">
        <f>'Balance sheet'!H7/'Income statement'!H6*365</f>
        <v>0</v>
      </c>
    </row>
    <row r="15" spans="1:8">
      <c r="A15" s="10" t="s">
        <v>58</v>
      </c>
      <c r="B15" s="17">
        <f>'Balance sheet'!B6/'Income statement'!B5*365</f>
        <v>0</v>
      </c>
      <c r="C15" s="17">
        <f>'Balance sheet'!C6/'Income statement'!C5*365</f>
        <v>0</v>
      </c>
      <c r="D15" s="17">
        <f>'Balance sheet'!D6/'Income statement'!D5*365</f>
        <v>0</v>
      </c>
      <c r="E15" s="17">
        <f>'Balance sheet'!E6/'Income statement'!E5*365</f>
        <v>0</v>
      </c>
      <c r="F15" s="17">
        <f>'Balance sheet'!F6/'Income statement'!F5*365</f>
        <v>0</v>
      </c>
      <c r="G15" s="17">
        <f>'Balance sheet'!G6/'Income statement'!G5*365</f>
        <v>0</v>
      </c>
      <c r="H15" s="17">
        <f>'Balance sheet'!H6/'Income statement'!H5*365</f>
        <v>0</v>
      </c>
    </row>
    <row r="16" spans="1:8">
      <c r="A16" s="10" t="s">
        <v>59</v>
      </c>
      <c r="B16" s="16">
        <f>'Balance sheet'!B11/'Balance sheet'!B12</f>
        <v>0</v>
      </c>
      <c r="C16" s="16">
        <f>'Balance sheet'!C11/'Balance sheet'!C12</f>
        <v>0</v>
      </c>
      <c r="D16" s="16">
        <f>'Balance sheet'!D11/'Balance sheet'!D12</f>
        <v>0</v>
      </c>
      <c r="E16" s="16">
        <f>'Balance sheet'!E11/'Balance sheet'!E12</f>
        <v>0</v>
      </c>
      <c r="F16" s="16">
        <f>'Balance sheet'!F11/'Balance sheet'!F12</f>
        <v>0</v>
      </c>
      <c r="G16" s="16">
        <f>'Balance sheet'!G11/'Balance sheet'!G12</f>
        <v>0</v>
      </c>
      <c r="H16" s="16">
        <f>'Balance sheet'!H11/'Balance sheet'!H12</f>
        <v>0</v>
      </c>
    </row>
    <row r="19" spans="1:8">
      <c r="A19" s="13" t="s">
        <v>60</v>
      </c>
      <c r="B19" s="7" t="s">
        <v>3</v>
      </c>
      <c r="C19" s="7" t="s">
        <v>4</v>
      </c>
      <c r="D19" s="7" t="s">
        <v>5</v>
      </c>
      <c r="E19" s="7" t="s">
        <v>6</v>
      </c>
      <c r="F19" s="7" t="s">
        <v>7</v>
      </c>
      <c r="G19" s="7" t="s">
        <v>8</v>
      </c>
      <c r="H19" s="7" t="s">
        <v>9</v>
      </c>
    </row>
    <row r="20" spans="1:8">
      <c r="A20" s="10" t="s">
        <v>61</v>
      </c>
      <c r="B20" s="10" t="s">
        <v>30</v>
      </c>
      <c r="C20" s="15">
        <f>'Income statement'!C16/AVERAGE('Balance sheet'!B12,'Balance sheet'!C12)</f>
        <v>0</v>
      </c>
      <c r="D20" s="15">
        <f>'Income statement'!D16/AVERAGE('Balance sheet'!C12,'Balance sheet'!D12)</f>
        <v>0</v>
      </c>
      <c r="E20" s="15">
        <f>'Income statement'!E16/AVERAGE('Balance sheet'!D12,'Balance sheet'!E12)</f>
        <v>0</v>
      </c>
      <c r="F20" s="15">
        <f>'Income statement'!F16/AVERAGE('Balance sheet'!E12,'Balance sheet'!F12)</f>
        <v>0</v>
      </c>
      <c r="G20" s="15">
        <f>'Income statement'!G16/AVERAGE('Balance sheet'!F12,'Balance sheet'!G12)</f>
        <v>0</v>
      </c>
      <c r="H20" s="15">
        <f>'Income statement'!H16/AVERAGE('Balance sheet'!G12,'Balance sheet'!H12)</f>
        <v>0</v>
      </c>
    </row>
    <row r="21" spans="1:8">
      <c r="A21" s="10" t="s">
        <v>62</v>
      </c>
      <c r="B21" s="10" t="s">
        <v>30</v>
      </c>
      <c r="C21" s="15">
        <f>'Income statement'!C16/AVERAGE('Balance sheet'!B9,'Balance sheet'!C9)</f>
        <v>0</v>
      </c>
      <c r="D21" s="15">
        <f>'Income statement'!D16/AVERAGE('Balance sheet'!C9,'Balance sheet'!D9)</f>
        <v>0</v>
      </c>
      <c r="E21" s="15">
        <f>'Income statement'!E16/AVERAGE('Balance sheet'!D9,'Balance sheet'!E9)</f>
        <v>0</v>
      </c>
      <c r="F21" s="15">
        <f>'Income statement'!F16/AVERAGE('Balance sheet'!E9,'Balance sheet'!F9)</f>
        <v>0</v>
      </c>
      <c r="G21" s="15">
        <f>'Income statement'!G16/AVERAGE('Balance sheet'!F9,'Balance sheet'!G9)</f>
        <v>0</v>
      </c>
      <c r="H21" s="15">
        <f>'Income statement'!H16/AVERAGE('Balance sheet'!G9,'Balance sheet'!H9)</f>
        <v>0</v>
      </c>
    </row>
    <row r="22" spans="1:8">
      <c r="A22" s="10" t="s">
        <v>63</v>
      </c>
      <c r="B22" s="15">
        <f>'Balance sheet'!B16/'Income statement'!B5</f>
        <v>0</v>
      </c>
      <c r="C22" s="15">
        <f>'Balance sheet'!C16/'Income statement'!C5</f>
        <v>0</v>
      </c>
      <c r="D22" s="15">
        <f>'Balance sheet'!D16/'Income statement'!D5</f>
        <v>0</v>
      </c>
      <c r="E22" s="15">
        <f>'Balance sheet'!E16/'Income statement'!E5</f>
        <v>0</v>
      </c>
      <c r="F22" s="15">
        <f>'Balance sheet'!F16/'Income statement'!F5</f>
        <v>0</v>
      </c>
      <c r="G22" s="15">
        <f>'Balance sheet'!G16/'Income statement'!G5</f>
        <v>0</v>
      </c>
      <c r="H22" s="15">
        <f>'Balance sheet'!H16/'Income statement'!H5</f>
        <v>0</v>
      </c>
    </row>
    <row r="23" spans="1:8">
      <c r="A23" s="10" t="s">
        <v>64</v>
      </c>
      <c r="B23" s="15">
        <f>'Balance sheet'!B19/'Balance sheet'!B16</f>
        <v>0</v>
      </c>
      <c r="C23" s="15">
        <f>'Balance sheet'!C19/'Balance sheet'!C16</f>
        <v>0</v>
      </c>
      <c r="D23" s="15">
        <f>'Balance sheet'!D19/'Balance sheet'!D16</f>
        <v>0</v>
      </c>
      <c r="E23" s="15">
        <f>'Balance sheet'!E19/'Balance sheet'!E16</f>
        <v>0</v>
      </c>
      <c r="F23" s="15">
        <f>'Balance sheet'!F19/'Balance sheet'!F16</f>
        <v>0</v>
      </c>
      <c r="G23" s="15">
        <f>'Balance sheet'!G19/'Balance sheet'!G16</f>
        <v>0</v>
      </c>
      <c r="H23" s="15">
        <f>'Balance sheet'!H19/'Balance sheet'!H16</f>
        <v>0</v>
      </c>
    </row>
    <row r="26" spans="1:8" ht="44" customHeight="1">
      <c r="A26" s="6" t="s">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2"/>
  <sheetViews>
    <sheetView showGridLines="0" workbookViewId="0"/>
  </sheetViews>
  <sheetFormatPr defaultRowHeight="15"/>
  <cols>
    <col min="1" max="1" width="34.7109375" customWidth="1"/>
    <col min="2" max="2" width="14.7109375" customWidth="1"/>
    <col min="3" max="3" width="62.7109375" customWidth="1"/>
  </cols>
  <sheetData>
    <row r="1" spans="1:3">
      <c r="A1" s="1" t="s">
        <v>66</v>
      </c>
    </row>
    <row r="2" spans="1:3" ht="30" customHeight="1">
      <c r="A2" s="6" t="s">
        <v>67</v>
      </c>
    </row>
    <row r="4" spans="1:3">
      <c r="A4" s="7" t="s">
        <v>68</v>
      </c>
      <c r="B4" s="7" t="s">
        <v>69</v>
      </c>
      <c r="C4" s="7" t="s">
        <v>70</v>
      </c>
    </row>
    <row r="5" spans="1:3">
      <c r="A5" s="8" t="s">
        <v>71</v>
      </c>
      <c r="B5" s="11">
        <f>'Income statement'!F11</f>
        <v>0</v>
      </c>
      <c r="C5" s="6" t="s">
        <v>72</v>
      </c>
    </row>
    <row r="6" spans="1:3">
      <c r="A6" s="10" t="s">
        <v>73</v>
      </c>
      <c r="B6" s="9">
        <f>('Income statement'!H5-'Income statement'!F5)*('Income statement'!F7/'Income statement'!F5)</f>
        <v>0</v>
      </c>
      <c r="C6" s="6" t="s">
        <v>74</v>
      </c>
    </row>
    <row r="7" spans="1:3">
      <c r="A7" s="10" t="s">
        <v>75</v>
      </c>
      <c r="B7" s="9">
        <f>'Income statement'!H5*('Income statement'!H7/'Income statement'!H5-'Income statement'!F7/'Income statement'!F5)</f>
        <v>0</v>
      </c>
      <c r="C7" s="6" t="s">
        <v>76</v>
      </c>
    </row>
    <row r="8" spans="1:3">
      <c r="A8" s="10" t="s">
        <v>77</v>
      </c>
      <c r="B8" s="9">
        <f>-('Income statement'!H10-'Income statement'!F10)</f>
        <v>0</v>
      </c>
      <c r="C8" s="6" t="s">
        <v>78</v>
      </c>
    </row>
    <row r="9" spans="1:3">
      <c r="A9" s="8" t="s">
        <v>79</v>
      </c>
      <c r="B9" s="11">
        <f>'Income statement'!H11</f>
        <v>0</v>
      </c>
      <c r="C9" s="6" t="s">
        <v>72</v>
      </c>
    </row>
    <row r="11" spans="1:3">
      <c r="A11" s="8" t="s">
        <v>80</v>
      </c>
      <c r="B11" s="11">
        <f>B5+B6+B7+B8</f>
        <v>0</v>
      </c>
    </row>
    <row r="12" spans="1:3">
      <c r="A12" s="8" t="s">
        <v>81</v>
      </c>
      <c r="B12" s="11">
        <f>B11-B9</f>
        <v>0</v>
      </c>
      <c r="C12" s="6" t="s">
        <v>82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E79"/>
  <sheetViews>
    <sheetView showGridLines="0" workbookViewId="0"/>
  </sheetViews>
  <sheetFormatPr defaultRowHeight="15"/>
  <cols>
    <col min="1" max="1" width="34.7109375" customWidth="1"/>
    <col min="2" max="5" width="13.7109375" customWidth="1"/>
  </cols>
  <sheetData>
    <row r="1" spans="1:5">
      <c r="A1" s="1" t="s">
        <v>83</v>
      </c>
    </row>
    <row r="2" spans="1:5" ht="44" customHeight="1">
      <c r="A2" s="6" t="s">
        <v>84</v>
      </c>
    </row>
    <row r="4" spans="1:5">
      <c r="A4" s="13" t="s">
        <v>85</v>
      </c>
    </row>
    <row r="5" spans="1:5">
      <c r="A5" s="7"/>
      <c r="B5" s="7" t="s">
        <v>86</v>
      </c>
      <c r="C5" s="7" t="s">
        <v>87</v>
      </c>
      <c r="D5" s="7" t="s">
        <v>88</v>
      </c>
    </row>
    <row r="6" spans="1:5">
      <c r="A6" s="10" t="s">
        <v>89</v>
      </c>
      <c r="B6" s="18">
        <v>-0.02</v>
      </c>
      <c r="C6" s="18">
        <v>0.02</v>
      </c>
      <c r="D6" s="18">
        <v>0.05</v>
      </c>
    </row>
    <row r="7" spans="1:5">
      <c r="A7" s="10" t="s">
        <v>25</v>
      </c>
      <c r="B7" s="18">
        <v>0.42</v>
      </c>
      <c r="C7" s="18">
        <v>0.435</v>
      </c>
      <c r="D7" s="18">
        <v>0.445</v>
      </c>
    </row>
    <row r="8" spans="1:5">
      <c r="A8" s="10" t="s">
        <v>90</v>
      </c>
      <c r="B8" s="18">
        <v>0.01</v>
      </c>
      <c r="C8" s="18">
        <v>0.02</v>
      </c>
      <c r="D8" s="18">
        <v>0.02</v>
      </c>
    </row>
    <row r="9" spans="1:5">
      <c r="A9" s="10" t="s">
        <v>54</v>
      </c>
      <c r="B9" s="18">
        <v>0.2</v>
      </c>
      <c r="C9" s="18">
        <v>0.2</v>
      </c>
      <c r="D9" s="18">
        <v>0.2</v>
      </c>
    </row>
    <row r="10" spans="1:5">
      <c r="A10" s="10" t="s">
        <v>91</v>
      </c>
      <c r="B10" s="18">
        <v>-0.01</v>
      </c>
      <c r="C10" s="18">
        <v>-0.015</v>
      </c>
      <c r="D10" s="18">
        <v>-0.015</v>
      </c>
    </row>
    <row r="12" spans="1:5">
      <c r="A12" s="10" t="s">
        <v>92</v>
      </c>
      <c r="B12" s="19">
        <f>'Income statement'!H12+'Income statement'!H13</f>
        <v>0</v>
      </c>
      <c r="C12" s="6" t="s">
        <v>93</v>
      </c>
    </row>
    <row r="14" spans="1:5">
      <c r="A14" s="13" t="s">
        <v>94</v>
      </c>
      <c r="B14" s="7" t="s">
        <v>95</v>
      </c>
      <c r="C14" s="7" t="s">
        <v>96</v>
      </c>
      <c r="D14" s="7" t="s">
        <v>97</v>
      </c>
      <c r="E14" s="7" t="s">
        <v>9</v>
      </c>
    </row>
    <row r="15" spans="1:5">
      <c r="A15" s="10" t="s">
        <v>98</v>
      </c>
      <c r="B15" s="15">
        <v>0.0404</v>
      </c>
      <c r="C15" s="15">
        <v>-0.0984</v>
      </c>
      <c r="D15" s="15">
        <v>0.1908</v>
      </c>
      <c r="E15" s="15">
        <v>0.0019</v>
      </c>
    </row>
    <row r="16" spans="1:5">
      <c r="A16" s="10" t="s">
        <v>99</v>
      </c>
      <c r="B16" s="15">
        <v>0.4399</v>
      </c>
      <c r="C16" s="15">
        <v>0.4273</v>
      </c>
      <c r="D16" s="15">
        <v>0.4598</v>
      </c>
      <c r="E16" s="15">
        <v>0.4291</v>
      </c>
    </row>
    <row r="17" spans="1:5">
      <c r="A17" s="10" t="s">
        <v>100</v>
      </c>
      <c r="B17" s="15">
        <v>0.0366</v>
      </c>
      <c r="C17" s="15">
        <v>-0.0294</v>
      </c>
      <c r="D17" s="15">
        <v>0.1366</v>
      </c>
      <c r="E17" s="15">
        <v>0.0016</v>
      </c>
    </row>
    <row r="18" spans="1:5">
      <c r="A18" s="10" t="s">
        <v>101</v>
      </c>
      <c r="B18" s="15">
        <v>0.1511</v>
      </c>
      <c r="C18" s="15">
        <v>0.091</v>
      </c>
      <c r="D18" s="15">
        <v>0.2031</v>
      </c>
      <c r="E18" s="15">
        <v>0.2031</v>
      </c>
    </row>
    <row r="19" spans="1:5">
      <c r="A19" s="10" t="s">
        <v>102</v>
      </c>
      <c r="B19" s="15">
        <v>-0.0118</v>
      </c>
      <c r="C19" s="15">
        <v>-0.0275</v>
      </c>
      <c r="D19" s="15">
        <v>0.0112</v>
      </c>
      <c r="E19" s="15">
        <v>-0.0044</v>
      </c>
    </row>
    <row r="22" spans="1:5" ht="28" customHeight="1">
      <c r="A22" s="13" t="s">
        <v>103</v>
      </c>
    </row>
    <row r="23" spans="1:5">
      <c r="A23" s="8" t="s">
        <v>10</v>
      </c>
      <c r="B23" s="11">
        <f>'Income statement'!H5</f>
        <v>0</v>
      </c>
      <c r="C23" s="11">
        <f>B23*(1+$B$6)</f>
        <v>0</v>
      </c>
      <c r="D23" s="11">
        <f>C23*(1+$B$6)</f>
        <v>0</v>
      </c>
    </row>
    <row r="24" spans="1:5">
      <c r="A24" s="10" t="s">
        <v>12</v>
      </c>
      <c r="B24" s="9">
        <f>'Income statement'!H7</f>
        <v>0</v>
      </c>
      <c r="C24" s="9">
        <f>C23*$B$7</f>
        <v>0</v>
      </c>
      <c r="D24" s="9">
        <f>D23*$B$7</f>
        <v>0</v>
      </c>
    </row>
    <row r="25" spans="1:5">
      <c r="A25" s="10" t="s">
        <v>25</v>
      </c>
      <c r="B25" s="15">
        <f>B24/B23</f>
        <v>0</v>
      </c>
      <c r="C25" s="15">
        <f>C24/C23</f>
        <v>0</v>
      </c>
      <c r="D25" s="15">
        <f>D24/D23</f>
        <v>0</v>
      </c>
    </row>
    <row r="26" spans="1:5">
      <c r="A26" s="10" t="s">
        <v>107</v>
      </c>
      <c r="B26" s="9">
        <f>'Income statement'!H10</f>
        <v>0</v>
      </c>
      <c r="C26" s="9">
        <f>B26*(1+$B$8)</f>
        <v>0</v>
      </c>
      <c r="D26" s="9">
        <f>C26*(1+$B$8)</f>
        <v>0</v>
      </c>
    </row>
    <row r="27" spans="1:5">
      <c r="A27" s="10" t="s">
        <v>53</v>
      </c>
      <c r="B27" s="15">
        <f>B26/B23</f>
        <v>0</v>
      </c>
      <c r="C27" s="15">
        <f>C26/C23</f>
        <v>0</v>
      </c>
      <c r="D27" s="15">
        <f>D26/D23</f>
        <v>0</v>
      </c>
    </row>
    <row r="28" spans="1:5">
      <c r="A28" s="8" t="s">
        <v>31</v>
      </c>
      <c r="B28" s="11">
        <f>B24-B26</f>
        <v>0</v>
      </c>
      <c r="C28" s="11">
        <f>C24-C26</f>
        <v>0</v>
      </c>
      <c r="D28" s="11">
        <f>D24-D26</f>
        <v>0</v>
      </c>
    </row>
    <row r="29" spans="1:5">
      <c r="A29" s="10" t="s">
        <v>27</v>
      </c>
      <c r="B29" s="14">
        <f>B28/B23</f>
        <v>0</v>
      </c>
      <c r="C29" s="14">
        <f>C28/C23</f>
        <v>0</v>
      </c>
      <c r="D29" s="14">
        <f>D28/D23</f>
        <v>0</v>
      </c>
    </row>
    <row r="30" spans="1:5">
      <c r="A30" s="10" t="s">
        <v>108</v>
      </c>
      <c r="B30" s="9">
        <f>$B$12</f>
        <v>0</v>
      </c>
      <c r="C30" s="9">
        <f>$B$12</f>
        <v>0</v>
      </c>
      <c r="D30" s="9">
        <f>$B$12</f>
        <v>0</v>
      </c>
    </row>
    <row r="31" spans="1:5">
      <c r="A31" s="10" t="s">
        <v>19</v>
      </c>
      <c r="B31" s="9">
        <f>B28+B30</f>
        <v>0</v>
      </c>
      <c r="C31" s="9">
        <f>C28+C30</f>
        <v>0</v>
      </c>
      <c r="D31" s="9">
        <f>D28+D30</f>
        <v>0</v>
      </c>
    </row>
    <row r="32" spans="1:5">
      <c r="A32" s="10" t="s">
        <v>20</v>
      </c>
      <c r="B32" s="9">
        <f>'Income statement'!H15</f>
        <v>0</v>
      </c>
      <c r="C32" s="9">
        <f>C31*$B$9</f>
        <v>0</v>
      </c>
      <c r="D32" s="9">
        <f>D31*$B$9</f>
        <v>0</v>
      </c>
    </row>
    <row r="33" spans="1:4">
      <c r="A33" s="8" t="s">
        <v>21</v>
      </c>
      <c r="B33" s="11">
        <f>B31-B32</f>
        <v>0</v>
      </c>
      <c r="C33" s="11">
        <f>C31-C32</f>
        <v>0</v>
      </c>
      <c r="D33" s="11">
        <f>D31-D32</f>
        <v>0</v>
      </c>
    </row>
    <row r="34" spans="1:4">
      <c r="A34" s="10" t="s">
        <v>28</v>
      </c>
      <c r="B34" s="15">
        <f>B33/B23</f>
        <v>0</v>
      </c>
      <c r="C34" s="15">
        <f>C33/C23</f>
        <v>0</v>
      </c>
      <c r="D34" s="15">
        <f>D33/D23</f>
        <v>0</v>
      </c>
    </row>
    <row r="35" spans="1:4">
      <c r="A35" s="10" t="s">
        <v>23</v>
      </c>
      <c r="B35" s="9">
        <f>'Income statement'!H18</f>
        <v>0</v>
      </c>
      <c r="C35" s="9">
        <f>B35*(1+$B$10)</f>
        <v>0</v>
      </c>
      <c r="D35" s="9">
        <f>C35*(1+$B$10)</f>
        <v>0</v>
      </c>
    </row>
    <row r="36" spans="1:4">
      <c r="A36" s="8" t="s">
        <v>109</v>
      </c>
      <c r="B36" s="12">
        <f>B33/B35</f>
        <v>0</v>
      </c>
      <c r="C36" s="12">
        <f>C33/C35</f>
        <v>0</v>
      </c>
      <c r="D36" s="12">
        <f>D33/D35</f>
        <v>0</v>
      </c>
    </row>
    <row r="40" spans="1:4" ht="28" customHeight="1">
      <c r="A40" s="13" t="s">
        <v>110</v>
      </c>
    </row>
    <row r="41" spans="1:4">
      <c r="A41" s="8" t="s">
        <v>10</v>
      </c>
      <c r="B41" s="11">
        <f>'Income statement'!H5</f>
        <v>0</v>
      </c>
      <c r="C41" s="11">
        <f>B41*(1+$C$6)</f>
        <v>0</v>
      </c>
      <c r="D41" s="11">
        <f>C41*(1+$C$6)</f>
        <v>0</v>
      </c>
    </row>
    <row r="42" spans="1:4">
      <c r="A42" s="10" t="s">
        <v>12</v>
      </c>
      <c r="B42" s="9">
        <f>'Income statement'!H7</f>
        <v>0</v>
      </c>
      <c r="C42" s="9">
        <f>C41*$C$7</f>
        <v>0</v>
      </c>
      <c r="D42" s="9">
        <f>D41*$C$7</f>
        <v>0</v>
      </c>
    </row>
    <row r="43" spans="1:4">
      <c r="A43" s="10" t="s">
        <v>25</v>
      </c>
      <c r="B43" s="15">
        <f>B42/B41</f>
        <v>0</v>
      </c>
      <c r="C43" s="15">
        <f>C42/C41</f>
        <v>0</v>
      </c>
      <c r="D43" s="15">
        <f>D42/D41</f>
        <v>0</v>
      </c>
    </row>
    <row r="44" spans="1:4">
      <c r="A44" s="10" t="s">
        <v>107</v>
      </c>
      <c r="B44" s="9">
        <f>'Income statement'!H10</f>
        <v>0</v>
      </c>
      <c r="C44" s="9">
        <f>B44*(1+$C$8)</f>
        <v>0</v>
      </c>
      <c r="D44" s="9">
        <f>C44*(1+$C$8)</f>
        <v>0</v>
      </c>
    </row>
    <row r="45" spans="1:4">
      <c r="A45" s="10" t="s">
        <v>53</v>
      </c>
      <c r="B45" s="15">
        <f>B44/B41</f>
        <v>0</v>
      </c>
      <c r="C45" s="15">
        <f>C44/C41</f>
        <v>0</v>
      </c>
      <c r="D45" s="15">
        <f>D44/D41</f>
        <v>0</v>
      </c>
    </row>
    <row r="46" spans="1:4">
      <c r="A46" s="8" t="s">
        <v>31</v>
      </c>
      <c r="B46" s="11">
        <f>B42-B44</f>
        <v>0</v>
      </c>
      <c r="C46" s="11">
        <f>C42-C44</f>
        <v>0</v>
      </c>
      <c r="D46" s="11">
        <f>D42-D44</f>
        <v>0</v>
      </c>
    </row>
    <row r="47" spans="1:4">
      <c r="A47" s="10" t="s">
        <v>27</v>
      </c>
      <c r="B47" s="14">
        <f>B46/B41</f>
        <v>0</v>
      </c>
      <c r="C47" s="14">
        <f>C46/C41</f>
        <v>0</v>
      </c>
      <c r="D47" s="14">
        <f>D46/D41</f>
        <v>0</v>
      </c>
    </row>
    <row r="48" spans="1:4">
      <c r="A48" s="10" t="s">
        <v>108</v>
      </c>
      <c r="B48" s="9">
        <f>$B$12</f>
        <v>0</v>
      </c>
      <c r="C48" s="9">
        <f>$B$12</f>
        <v>0</v>
      </c>
      <c r="D48" s="9">
        <f>$B$12</f>
        <v>0</v>
      </c>
    </row>
    <row r="49" spans="1:4">
      <c r="A49" s="10" t="s">
        <v>19</v>
      </c>
      <c r="B49" s="9">
        <f>B46+B48</f>
        <v>0</v>
      </c>
      <c r="C49" s="9">
        <f>C46+C48</f>
        <v>0</v>
      </c>
      <c r="D49" s="9">
        <f>D46+D48</f>
        <v>0</v>
      </c>
    </row>
    <row r="50" spans="1:4">
      <c r="A50" s="10" t="s">
        <v>20</v>
      </c>
      <c r="B50" s="9">
        <f>'Income statement'!H15</f>
        <v>0</v>
      </c>
      <c r="C50" s="9">
        <f>C49*$C$9</f>
        <v>0</v>
      </c>
      <c r="D50" s="9">
        <f>D49*$C$9</f>
        <v>0</v>
      </c>
    </row>
    <row r="51" spans="1:4">
      <c r="A51" s="8" t="s">
        <v>21</v>
      </c>
      <c r="B51" s="11">
        <f>B49-B50</f>
        <v>0</v>
      </c>
      <c r="C51" s="11">
        <f>C49-C50</f>
        <v>0</v>
      </c>
      <c r="D51" s="11">
        <f>D49-D50</f>
        <v>0</v>
      </c>
    </row>
    <row r="52" spans="1:4">
      <c r="A52" s="10" t="s">
        <v>28</v>
      </c>
      <c r="B52" s="15">
        <f>B51/B41</f>
        <v>0</v>
      </c>
      <c r="C52" s="15">
        <f>C51/C41</f>
        <v>0</v>
      </c>
      <c r="D52" s="15">
        <f>D51/D41</f>
        <v>0</v>
      </c>
    </row>
    <row r="53" spans="1:4">
      <c r="A53" s="10" t="s">
        <v>23</v>
      </c>
      <c r="B53" s="9">
        <f>'Income statement'!H18</f>
        <v>0</v>
      </c>
      <c r="C53" s="9">
        <f>B53*(1+$C$10)</f>
        <v>0</v>
      </c>
      <c r="D53" s="9">
        <f>C53*(1+$C$10)</f>
        <v>0</v>
      </c>
    </row>
    <row r="54" spans="1:4">
      <c r="A54" s="8" t="s">
        <v>109</v>
      </c>
      <c r="B54" s="12">
        <f>B51/B53</f>
        <v>0</v>
      </c>
      <c r="C54" s="12">
        <f>C51/C53</f>
        <v>0</v>
      </c>
      <c r="D54" s="12">
        <f>D51/D53</f>
        <v>0</v>
      </c>
    </row>
    <row r="58" spans="1:4" ht="28" customHeight="1">
      <c r="A58" s="13" t="s">
        <v>111</v>
      </c>
    </row>
    <row r="59" spans="1:4">
      <c r="A59" s="8" t="s">
        <v>10</v>
      </c>
      <c r="B59" s="11">
        <f>'Income statement'!H5</f>
        <v>0</v>
      </c>
      <c r="C59" s="11">
        <f>B59*(1+$D$6)</f>
        <v>0</v>
      </c>
      <c r="D59" s="11">
        <f>C59*(1+$D$6)</f>
        <v>0</v>
      </c>
    </row>
    <row r="60" spans="1:4">
      <c r="A60" s="10" t="s">
        <v>12</v>
      </c>
      <c r="B60" s="9">
        <f>'Income statement'!H7</f>
        <v>0</v>
      </c>
      <c r="C60" s="9">
        <f>C59*$D$7</f>
        <v>0</v>
      </c>
      <c r="D60" s="9">
        <f>D59*$D$7</f>
        <v>0</v>
      </c>
    </row>
    <row r="61" spans="1:4">
      <c r="A61" s="10" t="s">
        <v>25</v>
      </c>
      <c r="B61" s="15">
        <f>B60/B59</f>
        <v>0</v>
      </c>
      <c r="C61" s="15">
        <f>C60/C59</f>
        <v>0</v>
      </c>
      <c r="D61" s="15">
        <f>D60/D59</f>
        <v>0</v>
      </c>
    </row>
    <row r="62" spans="1:4">
      <c r="A62" s="10" t="s">
        <v>107</v>
      </c>
      <c r="B62" s="9">
        <f>'Income statement'!H10</f>
        <v>0</v>
      </c>
      <c r="C62" s="9">
        <f>B62*(1+$D$8)</f>
        <v>0</v>
      </c>
      <c r="D62" s="9">
        <f>C62*(1+$D$8)</f>
        <v>0</v>
      </c>
    </row>
    <row r="63" spans="1:4">
      <c r="A63" s="10" t="s">
        <v>53</v>
      </c>
      <c r="B63" s="15">
        <f>B62/B59</f>
        <v>0</v>
      </c>
      <c r="C63" s="15">
        <f>C62/C59</f>
        <v>0</v>
      </c>
      <c r="D63" s="15">
        <f>D62/D59</f>
        <v>0</v>
      </c>
    </row>
    <row r="64" spans="1:4">
      <c r="A64" s="8" t="s">
        <v>31</v>
      </c>
      <c r="B64" s="11">
        <f>B60-B62</f>
        <v>0</v>
      </c>
      <c r="C64" s="11">
        <f>C60-C62</f>
        <v>0</v>
      </c>
      <c r="D64" s="11">
        <f>D60-D62</f>
        <v>0</v>
      </c>
    </row>
    <row r="65" spans="1:4">
      <c r="A65" s="10" t="s">
        <v>27</v>
      </c>
      <c r="B65" s="14">
        <f>B64/B59</f>
        <v>0</v>
      </c>
      <c r="C65" s="14">
        <f>C64/C59</f>
        <v>0</v>
      </c>
      <c r="D65" s="14">
        <f>D64/D59</f>
        <v>0</v>
      </c>
    </row>
    <row r="66" spans="1:4">
      <c r="A66" s="10" t="s">
        <v>108</v>
      </c>
      <c r="B66" s="9">
        <f>$B$12</f>
        <v>0</v>
      </c>
      <c r="C66" s="9">
        <f>$B$12</f>
        <v>0</v>
      </c>
      <c r="D66" s="9">
        <f>$B$12</f>
        <v>0</v>
      </c>
    </row>
    <row r="67" spans="1:4">
      <c r="A67" s="10" t="s">
        <v>19</v>
      </c>
      <c r="B67" s="9">
        <f>B64+B66</f>
        <v>0</v>
      </c>
      <c r="C67" s="9">
        <f>C64+C66</f>
        <v>0</v>
      </c>
      <c r="D67" s="9">
        <f>D64+D66</f>
        <v>0</v>
      </c>
    </row>
    <row r="68" spans="1:4">
      <c r="A68" s="10" t="s">
        <v>20</v>
      </c>
      <c r="B68" s="9">
        <f>'Income statement'!H15</f>
        <v>0</v>
      </c>
      <c r="C68" s="9">
        <f>C67*$D$9</f>
        <v>0</v>
      </c>
      <c r="D68" s="9">
        <f>D67*$D$9</f>
        <v>0</v>
      </c>
    </row>
    <row r="69" spans="1:4">
      <c r="A69" s="8" t="s">
        <v>21</v>
      </c>
      <c r="B69" s="11">
        <f>B67-B68</f>
        <v>0</v>
      </c>
      <c r="C69" s="11">
        <f>C67-C68</f>
        <v>0</v>
      </c>
      <c r="D69" s="11">
        <f>D67-D68</f>
        <v>0</v>
      </c>
    </row>
    <row r="70" spans="1:4">
      <c r="A70" s="10" t="s">
        <v>28</v>
      </c>
      <c r="B70" s="15">
        <f>B69/B59</f>
        <v>0</v>
      </c>
      <c r="C70" s="15">
        <f>C69/C59</f>
        <v>0</v>
      </c>
      <c r="D70" s="15">
        <f>D69/D59</f>
        <v>0</v>
      </c>
    </row>
    <row r="71" spans="1:4">
      <c r="A71" s="10" t="s">
        <v>23</v>
      </c>
      <c r="B71" s="9">
        <f>'Income statement'!H18</f>
        <v>0</v>
      </c>
      <c r="C71" s="9">
        <f>B71*(1+$D$10)</f>
        <v>0</v>
      </c>
      <c r="D71" s="9">
        <f>C71*(1+$D$10)</f>
        <v>0</v>
      </c>
    </row>
    <row r="72" spans="1:4">
      <c r="A72" s="8" t="s">
        <v>109</v>
      </c>
      <c r="B72" s="12">
        <f>B69/B71</f>
        <v>0</v>
      </c>
      <c r="C72" s="12">
        <f>C69/C71</f>
        <v>0</v>
      </c>
      <c r="D72" s="12">
        <f>D69/D71</f>
        <v>0</v>
      </c>
    </row>
    <row r="76" spans="1:4">
      <c r="A76" s="13" t="s">
        <v>112</v>
      </c>
      <c r="B76" s="7" t="s">
        <v>104</v>
      </c>
      <c r="C76" s="7" t="s">
        <v>105</v>
      </c>
      <c r="D76" s="7" t="s">
        <v>106</v>
      </c>
    </row>
    <row r="77" spans="1:4">
      <c r="A77" s="10" t="s">
        <v>86</v>
      </c>
      <c r="B77" s="9">
        <f>B33</f>
        <v>0</v>
      </c>
      <c r="C77" s="9">
        <f>C33</f>
        <v>0</v>
      </c>
      <c r="D77" s="9">
        <f>D33</f>
        <v>0</v>
      </c>
    </row>
    <row r="78" spans="1:4">
      <c r="A78" s="10" t="s">
        <v>87</v>
      </c>
      <c r="B78" s="9">
        <f>B51</f>
        <v>0</v>
      </c>
      <c r="C78" s="9">
        <f>C51</f>
        <v>0</v>
      </c>
      <c r="D78" s="9">
        <f>D51</f>
        <v>0</v>
      </c>
    </row>
    <row r="79" spans="1:4">
      <c r="A79" s="10" t="s">
        <v>88</v>
      </c>
      <c r="B79" s="9">
        <f>B69</f>
        <v>0</v>
      </c>
      <c r="C79" s="9">
        <f>C69</f>
        <v>0</v>
      </c>
      <c r="D79" s="9">
        <f>D69</f>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B2:B22"/>
  <sheetViews>
    <sheetView showGridLines="0" workbookViewId="0"/>
  </sheetViews>
  <sheetFormatPr defaultRowHeight="15"/>
  <cols>
    <col min="1" max="1" width="2.7109375" customWidth="1"/>
    <col min="2" max="2" width="108.7109375" customWidth="1"/>
  </cols>
  <sheetData>
    <row r="2" spans="2:2">
      <c r="B2" s="1" t="s">
        <v>113</v>
      </c>
    </row>
    <row r="4" spans="2:2">
      <c r="B4" s="8" t="s">
        <v>114</v>
      </c>
    </row>
    <row r="5" spans="2:2" ht="42" customHeight="1">
      <c r="B5" s="20" t="s">
        <v>115</v>
      </c>
    </row>
    <row r="7" spans="2:2">
      <c r="B7" s="8" t="s">
        <v>116</v>
      </c>
    </row>
    <row r="8" spans="2:2" ht="42" customHeight="1">
      <c r="B8" s="20" t="s">
        <v>117</v>
      </c>
    </row>
    <row r="10" spans="2:2" ht="14" customHeight="1">
      <c r="B10" s="20" t="s">
        <v>118</v>
      </c>
    </row>
    <row r="12" spans="2:2">
      <c r="B12" s="8" t="s">
        <v>119</v>
      </c>
    </row>
    <row r="13" spans="2:2" ht="42" customHeight="1">
      <c r="B13" s="20" t="s">
        <v>120</v>
      </c>
    </row>
    <row r="15" spans="2:2">
      <c r="B15" s="8" t="s">
        <v>121</v>
      </c>
    </row>
    <row r="16" spans="2:2" ht="42" customHeight="1">
      <c r="B16" s="20" t="s">
        <v>122</v>
      </c>
    </row>
    <row r="18" spans="2:2">
      <c r="B18" s="8" t="s">
        <v>123</v>
      </c>
    </row>
    <row r="19" spans="2:2" ht="56" customHeight="1">
      <c r="B19" s="20" t="s">
        <v>124</v>
      </c>
    </row>
    <row r="21" spans="2:2">
      <c r="B21" s="8" t="s">
        <v>125</v>
      </c>
    </row>
    <row r="22" spans="2:2" ht="84" customHeight="1">
      <c r="B22" s="20"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Income statement</vt:lpstr>
      <vt:lpstr>Balance sheet</vt:lpstr>
      <vt:lpstr>Ratios</vt:lpstr>
      <vt:lpstr>Margin bridge</vt:lpstr>
      <vt:lpstr>Forecast</vt:lpstr>
      <vt:lpstr>Read 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2026-10-26T07:28:33Z</dcterms:created>
  <dcterms:modified xsi:type="dcterms:W3CDTF">2026-10-26T07:28:33Z</dcterms:modified>
</cp:coreProperties>
</file>